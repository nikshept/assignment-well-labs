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sh\Documents\CBA Assignment - WELL Labs\"/>
    </mc:Choice>
  </mc:AlternateContent>
  <xr:revisionPtr revIDLastSave="0" documentId="13_ncr:1_{8B3E2EF6-3DC2-4DD0-8F4F-2222E68C2B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U" sheetId="5" r:id="rId1"/>
    <sheet name="S2" sheetId="7" r:id="rId2"/>
    <sheet name="Sensitivity" sheetId="8" r:id="rId3"/>
    <sheet name="Sourc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8" l="1"/>
  <c r="F64" i="8"/>
  <c r="F63" i="8"/>
  <c r="C65" i="8"/>
  <c r="B65" i="8"/>
  <c r="C64" i="8"/>
  <c r="B64" i="8"/>
  <c r="C63" i="8"/>
  <c r="B63" i="8"/>
  <c r="C62" i="8"/>
  <c r="B62" i="8"/>
  <c r="D65" i="8"/>
  <c r="D64" i="8"/>
  <c r="D63" i="8"/>
  <c r="E65" i="8"/>
  <c r="E64" i="8"/>
  <c r="E63" i="8"/>
  <c r="E62" i="8"/>
  <c r="B38" i="7"/>
  <c r="B38" i="5"/>
  <c r="B29" i="7"/>
  <c r="B16" i="7"/>
  <c r="B16" i="5"/>
  <c r="B22" i="5" s="1"/>
  <c r="B22" i="7"/>
  <c r="B37" i="7"/>
  <c r="B36" i="7"/>
  <c r="B107" i="7"/>
  <c r="B92" i="7"/>
  <c r="B91" i="7"/>
  <c r="B90" i="7"/>
  <c r="B86" i="7"/>
  <c r="B85" i="7"/>
  <c r="B84" i="7"/>
  <c r="B87" i="7" s="1"/>
  <c r="B55" i="7"/>
  <c r="B54" i="7"/>
  <c r="B53" i="7"/>
  <c r="B51" i="7"/>
  <c r="B50" i="7"/>
  <c r="B49" i="7"/>
  <c r="B9" i="7"/>
  <c r="B10" i="7" s="1"/>
  <c r="B11" i="7" s="1"/>
  <c r="B3" i="7"/>
  <c r="B5" i="7" s="1"/>
  <c r="B107" i="5"/>
  <c r="B92" i="5"/>
  <c r="B91" i="5"/>
  <c r="B90" i="5"/>
  <c r="B55" i="5"/>
  <c r="B54" i="5"/>
  <c r="B53" i="5"/>
  <c r="B51" i="5"/>
  <c r="B50" i="5"/>
  <c r="B49" i="5"/>
  <c r="B85" i="5"/>
  <c r="B21" i="5"/>
  <c r="B9" i="5"/>
  <c r="F73" i="6"/>
  <c r="F74" i="6"/>
  <c r="F75" i="6"/>
  <c r="F72" i="6"/>
  <c r="E73" i="6"/>
  <c r="E74" i="6"/>
  <c r="E75" i="6"/>
  <c r="E72" i="6"/>
  <c r="B3" i="5"/>
  <c r="B5" i="5" s="1"/>
  <c r="B37" i="5"/>
  <c r="B36" i="5"/>
  <c r="D53" i="6"/>
  <c r="E53" i="6"/>
  <c r="F53" i="6"/>
  <c r="B84" i="5"/>
  <c r="B29" i="5" l="1"/>
  <c r="B33" i="5" s="1"/>
  <c r="B46" i="5" s="1"/>
  <c r="B73" i="5" s="1"/>
  <c r="B77" i="5" s="1"/>
  <c r="B81" i="5" s="1"/>
  <c r="B102" i="5" s="1"/>
  <c r="B20" i="5"/>
  <c r="B20" i="7"/>
  <c r="B21" i="7"/>
  <c r="B26" i="7" s="1"/>
  <c r="B33" i="7"/>
  <c r="B45" i="7" s="1"/>
  <c r="B72" i="7" s="1"/>
  <c r="B76" i="7" s="1"/>
  <c r="B80" i="7" s="1"/>
  <c r="B101" i="7" s="1"/>
  <c r="B32" i="7"/>
  <c r="B25" i="7"/>
  <c r="B86" i="5"/>
  <c r="B87" i="5" s="1"/>
  <c r="B26" i="5"/>
  <c r="B10" i="5"/>
  <c r="B32" i="5" l="1"/>
  <c r="B46" i="7"/>
  <c r="B73" i="7" s="1"/>
  <c r="B77" i="7" s="1"/>
  <c r="B81" i="7" s="1"/>
  <c r="B102" i="7" s="1"/>
  <c r="B44" i="7"/>
  <c r="B71" i="7" s="1"/>
  <c r="B75" i="7" s="1"/>
  <c r="B79" i="7" s="1"/>
  <c r="B100" i="7" s="1"/>
  <c r="B42" i="7"/>
  <c r="B59" i="7" s="1"/>
  <c r="B63" i="7" s="1"/>
  <c r="B67" i="7" s="1"/>
  <c r="B96" i="7" s="1"/>
  <c r="B43" i="7"/>
  <c r="B60" i="7" s="1"/>
  <c r="B64" i="7" s="1"/>
  <c r="B68" i="7" s="1"/>
  <c r="B97" i="7" s="1"/>
  <c r="B41" i="7"/>
  <c r="B58" i="7" s="1"/>
  <c r="B62" i="7" s="1"/>
  <c r="B66" i="7" s="1"/>
  <c r="B95" i="7" s="1"/>
  <c r="B44" i="5"/>
  <c r="B71" i="5" s="1"/>
  <c r="B75" i="5" s="1"/>
  <c r="B79" i="5" s="1"/>
  <c r="B100" i="5" s="1"/>
  <c r="B45" i="5"/>
  <c r="B72" i="5" s="1"/>
  <c r="B76" i="5" s="1"/>
  <c r="B80" i="5" s="1"/>
  <c r="B101" i="5" s="1"/>
  <c r="B43" i="5"/>
  <c r="B60" i="5" s="1"/>
  <c r="B64" i="5" s="1"/>
  <c r="B42" i="5"/>
  <c r="B59" i="5" s="1"/>
  <c r="B41" i="5"/>
  <c r="B58" i="5" s="1"/>
  <c r="B25" i="5"/>
  <c r="B11" i="5"/>
  <c r="B104" i="7" l="1"/>
  <c r="B108" i="7" s="1"/>
  <c r="B68" i="5"/>
  <c r="B97" i="5" s="1"/>
  <c r="B62" i="5"/>
  <c r="B63" i="5"/>
  <c r="B67" i="5" l="1"/>
  <c r="B96" i="5" s="1"/>
  <c r="B66" i="5"/>
  <c r="B95" i="5" l="1"/>
  <c r="B104" i="5" s="1"/>
  <c r="B10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tc={2B996C24-8E07-4D89-A877-6A2A7756994D}</author>
  </authors>
  <commentList>
    <comment ref="A58" authorId="0" shapeId="0" xr:uid="{2B996C24-8E07-4D89-A877-6A2A77569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water is mainly from river cauvery</t>
      </text>
    </comment>
  </commentList>
</comments>
</file>

<file path=xl/sharedStrings.xml><?xml version="1.0" encoding="utf-8"?>
<sst xmlns="http://schemas.openxmlformats.org/spreadsheetml/2006/main" count="917" uniqueCount="362">
  <si>
    <t>Quantity</t>
  </si>
  <si>
    <t>Unit</t>
  </si>
  <si>
    <t>Source</t>
  </si>
  <si>
    <t>Comments</t>
  </si>
  <si>
    <t>MLD</t>
  </si>
  <si>
    <t>people</t>
  </si>
  <si>
    <t>Concentration of E.coli</t>
  </si>
  <si>
    <t>Concentration of Rotavirus</t>
  </si>
  <si>
    <t>Concentration of Campylobacter</t>
  </si>
  <si>
    <t>Assumed</t>
  </si>
  <si>
    <t>Calculated</t>
  </si>
  <si>
    <t>Probability of infection by E.coli</t>
  </si>
  <si>
    <t>dose-response parameter</t>
  </si>
  <si>
    <t>George et al. 2015, Table 4</t>
  </si>
  <si>
    <t>r</t>
  </si>
  <si>
    <t>Probability of infection by Rotavirus</t>
  </si>
  <si>
    <t>Probability of infection by Campylobacter</t>
  </si>
  <si>
    <t>Risk of infection by E.coli</t>
  </si>
  <si>
    <t>Pinf,d = E x r</t>
  </si>
  <si>
    <t>Risk of infection by Rotavirus</t>
  </si>
  <si>
    <t>Risk of infection by Campylobacter</t>
  </si>
  <si>
    <t>Pinf,y = 1-(1-Pinf,d)^365</t>
  </si>
  <si>
    <t>P(disease|infection)</t>
  </si>
  <si>
    <t>Risk of diarrheal disease by E.coli</t>
  </si>
  <si>
    <t>Risk of infection x P(disease|infection)</t>
  </si>
  <si>
    <t>Risk of diarrheal disease by Rotavirus</t>
  </si>
  <si>
    <t>Risk of diarrheal disease by Campylobacter</t>
  </si>
  <si>
    <t>Disease burden per case, DALY (E.coli)</t>
  </si>
  <si>
    <t>DALY per case</t>
  </si>
  <si>
    <t>George et al. 2015, Table 3</t>
  </si>
  <si>
    <t>Severity and duration of diarrhea are from studies done abroad</t>
  </si>
  <si>
    <t>Disease burden per case, DALY (Rotavirus)</t>
  </si>
  <si>
    <t>Disease burden per case, DALY (Campylobacter)</t>
  </si>
  <si>
    <t>Total number of tanks supplied to</t>
  </si>
  <si>
    <t xml:space="preserve"> tanks</t>
  </si>
  <si>
    <t>Devanahalli has 9 tanks for 38000 ppl; extrapolating this to (122 + 65) 187 tanks across Kolar, Chikbellapura, Blr urban and Blr rural districts</t>
  </si>
  <si>
    <t>DALY/year</t>
  </si>
  <si>
    <t>Risk of diarrheal disease x Disease burden per case x Exposed population</t>
  </si>
  <si>
    <t>Headline BAU figure: total annual DALYs from E.coli + Rotavirus + Campylobacter infection among the population drinking Sihineeru-Kere-recharged well water in Devanahalli, under current (BAU) conditions. Compare against WHO (2006) tolerable additional burden of 1e-6 DALY/person/year -- see row 42/43 for per-person exposed-population context.</t>
  </si>
  <si>
    <t>Karnataka Budget Analysis 2025-26</t>
  </si>
  <si>
    <t>Karnataka GSDP per capita in 2025-26</t>
  </si>
  <si>
    <t>Rupees</t>
  </si>
  <si>
    <t>Human capital approach</t>
  </si>
  <si>
    <t>https://karmikaspandana.karnataka.gov.in/47/minimum-wages-final-notification/en</t>
  </si>
  <si>
    <t>Rotavirus</t>
  </si>
  <si>
    <t>Campylobacter</t>
  </si>
  <si>
    <t>Lakh Rupees</t>
  </si>
  <si>
    <t>Value of DALYs (2025-26)</t>
  </si>
  <si>
    <t>Assuming 10 times more likely to ingest during washing, bathing, etc., than during irrigation event.</t>
  </si>
  <si>
    <t>BAU Scenario</t>
  </si>
  <si>
    <t>Water Quality</t>
  </si>
  <si>
    <t>Diarrheal Disease Risk</t>
  </si>
  <si>
    <t>Disease Burden (DALY)</t>
  </si>
  <si>
    <t>Value of disease burden</t>
  </si>
  <si>
    <t>tanks</t>
  </si>
  <si>
    <t>S. No.</t>
  </si>
  <si>
    <t>STP</t>
  </si>
  <si>
    <t>Total capacity utilized (MLD)</t>
  </si>
  <si>
    <t>Capacity utilized (MLD)</t>
  </si>
  <si>
    <t>Tread sewage reused (MLD)</t>
  </si>
  <si>
    <t>Used for</t>
  </si>
  <si>
    <t>Rajacanal</t>
  </si>
  <si>
    <t>Irrigation and industrial</t>
  </si>
  <si>
    <t>Horamavu</t>
  </si>
  <si>
    <t>Hebbal</t>
  </si>
  <si>
    <t>K&amp;C Valley</t>
  </si>
  <si>
    <t>Lakes of Kolar</t>
  </si>
  <si>
    <t>Bellandur Amanikere</t>
  </si>
  <si>
    <t>Jakkur</t>
  </si>
  <si>
    <t>To KPTCL for power generation, remaining to Jakkuru lake</t>
  </si>
  <si>
    <t>Sarakki</t>
  </si>
  <si>
    <t>Proposal to recharge Sarakki lake</t>
  </si>
  <si>
    <t>Lalbagh</t>
  </si>
  <si>
    <t>Horticulture department</t>
  </si>
  <si>
    <t>Cubbon Park</t>
  </si>
  <si>
    <t>Horticulture</t>
  </si>
  <si>
    <t>Yelhanka</t>
  </si>
  <si>
    <t>Industrial</t>
  </si>
  <si>
    <t>Yelemelle chetty</t>
  </si>
  <si>
    <t>Lake</t>
  </si>
  <si>
    <t>Chikkabanavar</t>
  </si>
  <si>
    <t>Mailsandra</t>
  </si>
  <si>
    <t>Kadugodi</t>
  </si>
  <si>
    <t>Industry</t>
  </si>
  <si>
    <t>Halasaru</t>
  </si>
  <si>
    <t>Nagasandra</t>
  </si>
  <si>
    <t>SWD</t>
  </si>
  <si>
    <t>Kadabeesanahalli</t>
  </si>
  <si>
    <t>K R Puram</t>
  </si>
  <si>
    <t>Doddabele</t>
  </si>
  <si>
    <t>Other (For STP process and balance to downstream nalla)</t>
  </si>
  <si>
    <t>Kengeri</t>
  </si>
  <si>
    <t>Lakes of Anekal</t>
  </si>
  <si>
    <t>Hulimavu</t>
  </si>
  <si>
    <t>Hulimavu Kere</t>
  </si>
  <si>
    <t>Agaram</t>
  </si>
  <si>
    <t>Agaram Kere</t>
  </si>
  <si>
    <t>KR Puram (New)</t>
  </si>
  <si>
    <t>Vengaiana Kere</t>
  </si>
  <si>
    <t>Chikka Beguru</t>
  </si>
  <si>
    <t>Chikkabegur Kere</t>
  </si>
  <si>
    <t>Hennur</t>
  </si>
  <si>
    <t>To biodiversity park and SWD</t>
  </si>
  <si>
    <t>Madiwala</t>
  </si>
  <si>
    <t>Madiwala lake</t>
  </si>
  <si>
    <t>V Valley</t>
  </si>
  <si>
    <t>Hassan</t>
  </si>
  <si>
    <t>Agriculture</t>
  </si>
  <si>
    <t>Belur</t>
  </si>
  <si>
    <t>Bannuru</t>
  </si>
  <si>
    <t>Arasikere</t>
  </si>
  <si>
    <t>Channarayapatna</t>
  </si>
  <si>
    <t>Holenarasipura</t>
  </si>
  <si>
    <t>Birur</t>
  </si>
  <si>
    <t>Muddebihal</t>
  </si>
  <si>
    <t>Treated sewage is discharged into nala for agriculture purpose</t>
  </si>
  <si>
    <t>Tumkur</t>
  </si>
  <si>
    <t>Mangaluru</t>
  </si>
  <si>
    <t>Ballari</t>
  </si>
  <si>
    <t>Kollegala</t>
  </si>
  <si>
    <t>Chickmagalur</t>
  </si>
  <si>
    <t>Basavana Bagewadi</t>
  </si>
  <si>
    <t>Total</t>
  </si>
  <si>
    <t>Location</t>
  </si>
  <si>
    <t>Bengaluru</t>
  </si>
  <si>
    <t>Not Bengaluru</t>
  </si>
  <si>
    <t>Use_case_coded</t>
  </si>
  <si>
    <t>Others</t>
  </si>
  <si>
    <t>percent</t>
  </si>
  <si>
    <t>Litres per day</t>
  </si>
  <si>
    <t>Total Population of Devanahalli town</t>
  </si>
  <si>
    <t>Parameters</t>
  </si>
  <si>
    <t>Pathogenic E. coli - Melapura</t>
  </si>
  <si>
    <t>Pathogenic E. coli - Hongally</t>
  </si>
  <si>
    <t>Rotavirus - Melapura</t>
  </si>
  <si>
    <t>Rotavirus - Hongally</t>
  </si>
  <si>
    <t>Campylobacter - Melapura</t>
  </si>
  <si>
    <t>Campylobacter - Hongally</t>
  </si>
  <si>
    <t>Raw water quality (CR)</t>
  </si>
  <si>
    <t>Drinking water quality (CD)</t>
  </si>
  <si>
    <t>Exposure by drinking water (E)</t>
  </si>
  <si>
    <t>Dose-response (r)</t>
  </si>
  <si>
    <t>Risk of infection (Pinf,d)</t>
  </si>
  <si>
    <t>Risk of infection (Pinf,y)</t>
  </si>
  <si>
    <t>Risk of diarrheal illness given infection (Pill/inf)</t>
  </si>
  <si>
    <t>Risk of diarrheal disease (Pill)</t>
  </si>
  <si>
    <t>Disease burden (db)</t>
  </si>
  <si>
    <t>Susceptible fraction (fs)</t>
  </si>
  <si>
    <t>Disease burden (db)/health outcome target (HT)</t>
  </si>
  <si>
    <t>Table 4 George et al 2015</t>
  </si>
  <si>
    <t>using Devanahalli case study</t>
  </si>
  <si>
    <t>Litres per day per person</t>
  </si>
  <si>
    <t>Total water demanded by Devanahalli town</t>
  </si>
  <si>
    <t>Number of people involved in agricultural work</t>
  </si>
  <si>
    <t>Percentage of people in agricultural work</t>
  </si>
  <si>
    <t>Percentage of water used for irrigation in agriculture</t>
  </si>
  <si>
    <t>Percentage of water used for domestic use</t>
  </si>
  <si>
    <t>Percentage of water used for drinking</t>
  </si>
  <si>
    <t>District</t>
  </si>
  <si>
    <t>WPR % (pg 58)</t>
  </si>
  <si>
    <t>Cultivators % of workers (pg 68)</t>
  </si>
  <si>
    <t>Agri. labourers % of workers (pg 71)</t>
  </si>
  <si>
    <t>Field workers % of workers (sum)</t>
  </si>
  <si>
    <t>Field workers % of total population</t>
  </si>
  <si>
    <t>Karnataka (state)</t>
  </si>
  <si>
    <t>Kolar</t>
  </si>
  <si>
    <t>Chikkaballapura</t>
  </si>
  <si>
    <t>Bangalore Rural</t>
  </si>
  <si>
    <t>Primary census 2011 karnataka</t>
  </si>
  <si>
    <t>Number of tanks receiving water (Devanahalli)</t>
  </si>
  <si>
    <t>Per tank supply</t>
  </si>
  <si>
    <t>MLD per tank</t>
  </si>
  <si>
    <t>Number of people not involved in agricultural work</t>
  </si>
  <si>
    <t>Devanahalli Demographics</t>
  </si>
  <si>
    <t>Treated wastewater from Bengaluru</t>
  </si>
  <si>
    <t>Redirected for lake recharge</t>
  </si>
  <si>
    <t>Annexure 3 of Ahmad and Singhal, 2024</t>
  </si>
  <si>
    <t>assuming tanks are lakes and that they have mentioned all the tanks in the report</t>
  </si>
  <si>
    <t>percentage from Bangalore rural district</t>
  </si>
  <si>
    <t>Water supplied by revitalized well to town</t>
  </si>
  <si>
    <t>well near Sihineeru kere</t>
  </si>
  <si>
    <t>assuming Karnataka-wide value holds good here</t>
  </si>
  <si>
    <t>assuming 8%</t>
  </si>
  <si>
    <t>Water from well used for irrigation in agriculture</t>
  </si>
  <si>
    <t>Water from well used for domestic use</t>
  </si>
  <si>
    <t>Water from well used for drinking</t>
  </si>
  <si>
    <t>exposed to both irrigation water plus domestic and drinking water</t>
  </si>
  <si>
    <t>exposed only to domestic and drinking water</t>
  </si>
  <si>
    <t>Chance of ingestion during irrigation</t>
  </si>
  <si>
    <t>Derived</t>
  </si>
  <si>
    <t>Ramesh et al. 2020 reports 0.1mL incidental ingestion per irrigation event. Assuming 10L of water is handled in such an event.</t>
  </si>
  <si>
    <t>Table 3 of Ramesh et al. 2020</t>
  </si>
  <si>
    <t>Reuse option</t>
  </si>
  <si>
    <t>Exposed population</t>
  </si>
  <si>
    <t>Exposure route</t>
  </si>
  <si>
    <t>Vi (ingested volume per event)</t>
  </si>
  <si>
    <t>Distribution</t>
  </si>
  <si>
    <t>f (events/year)</t>
  </si>
  <si>
    <t>Reference</t>
  </si>
  <si>
    <t>Crop irrigation</t>
  </si>
  <si>
    <t>Field workers</t>
  </si>
  <si>
    <t>Accidental ingestion while performing farm activities (hose-pipe watering, aerosol/droplet splash), no protective gear</t>
  </si>
  <si>
    <t>0,1–0,2 mL/Event</t>
  </si>
  <si>
    <t>Uniform</t>
  </si>
  <si>
    <t>60–90 Event/yr</t>
  </si>
  <si>
    <t>Busgang et al.</t>
  </si>
  <si>
    <t>Children</t>
  </si>
  <si>
    <t>Accidental/incidental ingestion while playing or working in the fields during irrigation</t>
  </si>
  <si>
    <t>0,1–1 mL/Event</t>
  </si>
  <si>
    <t>30–45 Event/yr</t>
  </si>
  <si>
    <t>This study (survey)</t>
  </si>
  <si>
    <t>Garden irrigation</t>
  </si>
  <si>
    <t>Accidental ingestion while performing garden activities (hose-pipe watering, aerosol/droplet splash), no protective gear</t>
  </si>
  <si>
    <t>0,05–0,1 mL/Event</t>
  </si>
  <si>
    <t>180–270 Event/yr</t>
  </si>
  <si>
    <t>Chhipi-Shrestha et al.</t>
  </si>
  <si>
    <t>Accidental/incidental ingestion while playing in the garden during irrigation (children present the whole time)</t>
  </si>
  <si>
    <t>0,09–0,11 mL/Event</t>
  </si>
  <si>
    <t>52–104 Event/yr</t>
  </si>
  <si>
    <t>Toilet flush (occupational)</t>
  </si>
  <si>
    <t>Workers (adults)</t>
  </si>
  <si>
    <t>Aerosol ingestion during flushing</t>
  </si>
  <si>
    <t>0,009–0,011 mL/Event</t>
  </si>
  <si>
    <t>626–1.248 Event/yr</t>
  </si>
  <si>
    <t>Industrial reuse (occupational)</t>
  </si>
  <si>
    <t>Workers</t>
  </si>
  <si>
    <t>Accidental ingestion of aerosols while cleaning equipment/machines, no masks or gloves</t>
  </si>
  <si>
    <t>2–12 Event/yr</t>
  </si>
  <si>
    <t>Chance of ingestion during drinking</t>
  </si>
  <si>
    <t>Chance of ingestion during domestic use</t>
  </si>
  <si>
    <t>Devanahalli water pathway</t>
  </si>
  <si>
    <t>organisms per Litre</t>
  </si>
  <si>
    <t xml:space="preserve">Exposure to well water if not involved in agricultural work </t>
  </si>
  <si>
    <t>Exposure to well water if involved in agricultural work</t>
  </si>
  <si>
    <t>Ingested volume of well water if involved in agricultural work</t>
  </si>
  <si>
    <t>Ingested volume of well water if not involved in agricultural work</t>
  </si>
  <si>
    <t>Exposure to water</t>
  </si>
  <si>
    <t>Exposure to Organisms</t>
  </si>
  <si>
    <t>Exposure to E.coli if involved in agricultural work</t>
  </si>
  <si>
    <t>Exposure to Rotavirus if involved in agricultural work</t>
  </si>
  <si>
    <t>Exposure to Campylobacter if involved in agricultural work</t>
  </si>
  <si>
    <t>Exposure to E.coli if not involved in agricultural work</t>
  </si>
  <si>
    <t>Exposure to Rotavirus if not involved in agricultural work</t>
  </si>
  <si>
    <t>Exposure to Campylobacter if not involved in agricultural work</t>
  </si>
  <si>
    <t>organisms per day per person</t>
  </si>
  <si>
    <t>used the lower of both values, to simulate a better performing WTP</t>
  </si>
  <si>
    <t xml:space="preserve">George et al. 2015, Table 4 </t>
  </si>
  <si>
    <t>Ahmad and Singhal (2024), Annexure 3</t>
  </si>
  <si>
    <t>per case</t>
  </si>
  <si>
    <t>Probability of disease given infection (E.coli)</t>
  </si>
  <si>
    <t>Probability of disease given infection (Rotavirus)</t>
  </si>
  <si>
    <t>Probability of disease given infection (Campylobacter)</t>
  </si>
  <si>
    <r>
      <t xml:space="preserve"> </t>
    </r>
    <r>
      <rPr>
        <b/>
        <sz val="11"/>
        <color theme="1"/>
        <rFont val="Calibri"/>
        <family val="2"/>
        <scheme val="minor"/>
      </rPr>
      <t>- if involved in agricultural work -</t>
    </r>
  </si>
  <si>
    <t xml:space="preserve"> - if not involved in agricultural work -</t>
  </si>
  <si>
    <t>per person per day</t>
  </si>
  <si>
    <t>per person per year</t>
  </si>
  <si>
    <t>Exposed Population</t>
  </si>
  <si>
    <t>Estimated total population</t>
  </si>
  <si>
    <t>percentage from Karnataka-wide value</t>
  </si>
  <si>
    <t>Total Disease burden in population</t>
  </si>
  <si>
    <t>Table 3 of George et al. 2015</t>
  </si>
  <si>
    <t>Pathogen</t>
  </si>
  <si>
    <t>Outcome</t>
  </si>
  <si>
    <t>Severity</t>
  </si>
  <si>
    <t>Duration (days)</t>
  </si>
  <si>
    <t>Duration (years)</t>
  </si>
  <si>
    <t>Disease burden formula shown</t>
  </si>
  <si>
    <t>DALY per case (row)</t>
  </si>
  <si>
    <t>E. coli O157:H7</t>
  </si>
  <si>
    <t>Watery diarrhea (53%)</t>
  </si>
  <si>
    <t>1.000 × 53% × 0,067 × 0,009</t>
  </si>
  <si>
    <t>Bloody diarrhea (47%)</t>
  </si>
  <si>
    <t>1.000 × 47% × 0,39 × 0,015</t>
  </si>
  <si>
    <t>Death from diarrhea</t>
  </si>
  <si>
    <t>64 years</t>
  </si>
  <si>
    <t>—</t>
  </si>
  <si>
    <t>1.000 × 0,7% × 64</t>
  </si>
  <si>
    <t>Total diarrhea</t>
  </si>
  <si>
    <t>Gastroenteritis, population (94%)</t>
  </si>
  <si>
    <t>0,009 (see note)</t>
  </si>
  <si>
    <t>0,94 × 0,067 × 0,009</t>
  </si>
  <si>
    <t>Gastroenteritis, GP visit (6%)</t>
  </si>
  <si>
    <t>0,06 × 0,39 × 0,026</t>
  </si>
  <si>
    <t>Death from gastroenteritis (0,1%)</t>
  </si>
  <si>
    <t>0,001 × 1 × 64</t>
  </si>
  <si>
    <t>Mild diarrhea (85,6%)</t>
  </si>
  <si>
    <t>1 × 85,6% × 0,10 × 0,02</t>
  </si>
  <si>
    <t>Severe diarrhea (14,4%)</t>
  </si>
  <si>
    <t>1 × 14,4% × 0,23 × 0,02</t>
  </si>
  <si>
    <t>Death</t>
  </si>
  <si>
    <t>1 × 0,7% × 64</t>
  </si>
  <si>
    <t>Ingested volume x Concentration</t>
  </si>
  <si>
    <t>Labour commission notification 22nd May 2026: Minimum wages Karnataka</t>
  </si>
  <si>
    <t>Skill category</t>
  </si>
  <si>
    <t>Zone 1 - Per day</t>
  </si>
  <si>
    <t>Zone 1 - Per month</t>
  </si>
  <si>
    <t>Zone 2 - Per day</t>
  </si>
  <si>
    <t>Zone 2 - Per month</t>
  </si>
  <si>
    <t>Zone 3 - Per day</t>
  </si>
  <si>
    <t>Zone 3 - Per month</t>
  </si>
  <si>
    <t>Highly Skilled</t>
  </si>
  <si>
    <t>Skilled</t>
  </si>
  <si>
    <t>Semi-skilled</t>
  </si>
  <si>
    <t>Unskilled</t>
  </si>
  <si>
    <t>Karnataka Budget Analysis by PRS 2026-27</t>
  </si>
  <si>
    <t xml:space="preserve">https://prsindia.org/budgets/states/karnataka-budget-analysis-2026-27 </t>
  </si>
  <si>
    <r>
      <t>Per capita GSDP:</t>
    </r>
    <r>
      <rPr>
        <sz val="10"/>
        <color rgb="FF000000"/>
        <rFont val="Times New Roman"/>
        <family val="1"/>
      </rPr>
      <t>  In 2025-26, Karnataka’s per capita GSDP (at current prices) is estimated to be Rs 4,77,003</t>
    </r>
  </si>
  <si>
    <t>Redirected for direct irrigation of farms</t>
  </si>
  <si>
    <t>Water supplied from TTP plant to town</t>
  </si>
  <si>
    <t>used the better quality of raw water (Cauvery water) to simulate TTP</t>
  </si>
  <si>
    <t>Diarrheal disease burden from E.coli</t>
  </si>
  <si>
    <t>Diarrheal disease burden from Rotavirus</t>
  </si>
  <si>
    <t>Diarrheal disease burden from Campylobacter</t>
  </si>
  <si>
    <t>Ahmad and Singhal (2024), pg 138 and pg 140</t>
  </si>
  <si>
    <t>Ahmad and Singhal (2024), pg 143</t>
  </si>
  <si>
    <t>Ahmad and Singhal (2024), Table 31, pg 137</t>
  </si>
  <si>
    <t>Ahmad and Singhal (2024), pg 147</t>
  </si>
  <si>
    <t>Ahmad and Singhal (2024), pg 143 (irrigate 84%)</t>
  </si>
  <si>
    <t>List of possible variants</t>
  </si>
  <si>
    <t>E. coli concentration</t>
  </si>
  <si>
    <t>Rotavirus concentration</t>
  </si>
  <si>
    <t>Campylobacter concentration</t>
  </si>
  <si>
    <t>Dose-response parameter (r), per pathogen</t>
  </si>
  <si>
    <t>Probability of illness given infection, per pathogen</t>
  </si>
  <si>
    <t>Disease burden per case (DALYs), per pathogen</t>
  </si>
  <si>
    <t>Total population of Devanahalli town</t>
  </si>
  <si>
    <t>% of Devanahalli population in agricultural work</t>
  </si>
  <si>
    <t>% of wider population in agricultural work</t>
  </si>
  <si>
    <t>Total water supplied from well/plant to town</t>
  </si>
  <si>
    <t>Karnataka GSDP per capita</t>
  </si>
  <si>
    <t>Total number of tanks the scheme supplies</t>
  </si>
  <si>
    <t>Number of tanks receiving water in Devanahalli</t>
  </si>
  <si>
    <t>% of water used for irrigation</t>
  </si>
  <si>
    <t>% of water used for domestic use</t>
  </si>
  <si>
    <t>% of water used for drinking</t>
  </si>
  <si>
    <t>can vary quite a bit depending on town</t>
  </si>
  <si>
    <t>highly uncertain because of how I derived it</t>
  </si>
  <si>
    <t>uncertain because secondary data from a different treatment plant / water body</t>
  </si>
  <si>
    <t>assuming TTP sends same amount of water as the well in the BAU</t>
  </si>
  <si>
    <t>assuming 100% because water not used for anything else</t>
  </si>
  <si>
    <t>Total water supplied</t>
  </si>
  <si>
    <t>BAU DALY</t>
  </si>
  <si>
    <t>S2 DALY</t>
  </si>
  <si>
    <t>Net DALY value</t>
  </si>
  <si>
    <t>Total water supplied from well/ treatment plant based on Ahmad and Singhal 2024</t>
  </si>
  <si>
    <t>Total water supplied (common for both)</t>
  </si>
  <si>
    <t>Chance of ingestion of water during irrigation (common for both)</t>
  </si>
  <si>
    <t>common to both</t>
  </si>
  <si>
    <t>Influence</t>
  </si>
  <si>
    <t>very high influence</t>
  </si>
  <si>
    <t>Campylobacter concentration (in BAU)</t>
  </si>
  <si>
    <t>Campylobacter concentration (in S2)</t>
  </si>
  <si>
    <t>Slope</t>
  </si>
  <si>
    <t>Variant</t>
  </si>
  <si>
    <t>Chance of ingestion of water during irrigation</t>
  </si>
  <si>
    <t>Min of range</t>
  </si>
  <si>
    <t>Max of range</t>
  </si>
  <si>
    <t>Slope (Lakh Rs per unit change)</t>
  </si>
  <si>
    <t>Value at which net DALY value turns negative</t>
  </si>
  <si>
    <t>NA</t>
  </si>
  <si>
    <t>times of "normal"</t>
  </si>
  <si>
    <t>S2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</si>
</sst>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%"/>
    <numFmt numFmtId="166" formatCode="0.000"/>
    <numFmt numFmtId="167" formatCode="0.000000%"/>
    <numFmt numFmtId="168" formatCode="0.0000"/>
    <numFmt numFmtId="169" formatCode="0.00000"/>
    <numFmt numFmtId="170" formatCode="0.000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10" fontId="0" fillId="0" borderId="0" xfId="1" applyNumberFormat="1" applyFont="1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0" fontId="6" fillId="0" borderId="0" xfId="0" applyFont="1"/>
    <xf numFmtId="10" fontId="0" fillId="0" borderId="0" xfId="0" applyNumberFormat="1"/>
    <xf numFmtId="2" fontId="4" fillId="0" borderId="0" xfId="0" applyNumberFormat="1" applyFont="1"/>
    <xf numFmtId="165" fontId="0" fillId="0" borderId="0" xfId="1" applyNumberFormat="1" applyFont="1"/>
    <xf numFmtId="1" fontId="0" fillId="0" borderId="0" xfId="0" applyNumberFormat="1"/>
    <xf numFmtId="0" fontId="1" fillId="2" borderId="0" xfId="0" applyFont="1" applyFill="1"/>
    <xf numFmtId="0" fontId="2" fillId="2" borderId="0" xfId="0" applyFont="1" applyFill="1"/>
    <xf numFmtId="1" fontId="2" fillId="2" borderId="0" xfId="0" applyNumberFormat="1" applyFont="1" applyFill="1"/>
    <xf numFmtId="1" fontId="1" fillId="2" borderId="0" xfId="0" applyNumberFormat="1" applyFont="1" applyFill="1"/>
    <xf numFmtId="0" fontId="8" fillId="0" borderId="0" xfId="2" applyFont="1"/>
    <xf numFmtId="0" fontId="9" fillId="0" borderId="0" xfId="0" applyFont="1"/>
    <xf numFmtId="166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6" fontId="0" fillId="0" borderId="0" xfId="1" applyNumberFormat="1" applyFont="1"/>
    <xf numFmtId="0" fontId="2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supplied vs Net DALY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Sensitivity!$D$23</c:f>
              <c:strCache>
                <c:ptCount val="1"/>
                <c:pt idx="0">
                  <c:v>Net DALY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67410323709536"/>
                  <c:y val="0.21254629629629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L"/>
                </a:p>
              </c:txPr>
            </c:trendlineLbl>
          </c:trendline>
          <c:xVal>
            <c:numRef>
              <c:f>Sensitivity!$A$24:$A$32</c:f>
              <c:numCache>
                <c:formatCode>General</c:formatCode>
                <c:ptCount val="9"/>
                <c:pt idx="0" formatCode="0">
                  <c:v>159000</c:v>
                </c:pt>
                <c:pt idx="1">
                  <c:v>0</c:v>
                </c:pt>
                <c:pt idx="2">
                  <c:v>2</c:v>
                </c:pt>
                <c:pt idx="3">
                  <c:v>1000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  <c:pt idx="7">
                  <c:v>100000</c:v>
                </c:pt>
                <c:pt idx="8">
                  <c:v>500000</c:v>
                </c:pt>
              </c:numCache>
            </c:numRef>
          </c:xVal>
          <c:yVal>
            <c:numRef>
              <c:f>Sensitivity!$D$24:$D$32</c:f>
              <c:numCache>
                <c:formatCode>General</c:formatCode>
                <c:ptCount val="9"/>
                <c:pt idx="0" formatCode="0">
                  <c:v>1466.5371529419474</c:v>
                </c:pt>
                <c:pt idx="1">
                  <c:v>0</c:v>
                </c:pt>
                <c:pt idx="2">
                  <c:v>1.9387627698492432E-2</c:v>
                </c:pt>
                <c:pt idx="3">
                  <c:v>9.6907696823762972</c:v>
                </c:pt>
                <c:pt idx="4">
                  <c:v>48.392848202454118</c:v>
                </c:pt>
                <c:pt idx="5">
                  <c:v>96.633472849218961</c:v>
                </c:pt>
                <c:pt idx="6">
                  <c:v>477.13337208174914</c:v>
                </c:pt>
                <c:pt idx="7">
                  <c:v>939.45260635579257</c:v>
                </c:pt>
                <c:pt idx="8">
                  <c:v>4155.073637031267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9C-4232-9496-82A94F786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447759"/>
        <c:axId val="1557402799"/>
      </c:scatterChart>
      <c:valAx>
        <c:axId val="19144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Water Supplied (Litres per 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7402799"/>
        <c:crosses val="autoZero"/>
        <c:crossBetween val="midCat"/>
      </c:valAx>
      <c:valAx>
        <c:axId val="15574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DALY value (Lakh 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44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Chance of ingestion during irrigation vs Net DALY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Sensitivity!$D$34</c:f>
              <c:strCache>
                <c:ptCount val="1"/>
                <c:pt idx="0">
                  <c:v>Net DALY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67410323709536"/>
                  <c:y val="0.21254629629629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L"/>
                </a:p>
              </c:txPr>
            </c:trendlineLbl>
          </c:trendline>
          <c:xVal>
            <c:numRef>
              <c:f>Sensitivity!$A$35:$A$40</c:f>
              <c:numCache>
                <c:formatCode>0.000000%</c:formatCode>
                <c:ptCount val="6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5.0000000000000004E-6</c:v>
                </c:pt>
                <c:pt idx="4">
                  <c:v>1.0000000000000002E-6</c:v>
                </c:pt>
                <c:pt idx="5">
                  <c:v>7.6294000000000008E-7</c:v>
                </c:pt>
              </c:numCache>
            </c:numRef>
          </c:xVal>
          <c:yVal>
            <c:numRef>
              <c:f>Sensitivity!$D$35:$D$40</c:f>
              <c:numCache>
                <c:formatCode>General</c:formatCode>
                <c:ptCount val="6"/>
                <c:pt idx="0">
                  <c:v>1466.5371529419474</c:v>
                </c:pt>
                <c:pt idx="1">
                  <c:v>6557.8058779808844</c:v>
                </c:pt>
                <c:pt idx="2" formatCode="0.000">
                  <c:v>10807.277634618602</c:v>
                </c:pt>
                <c:pt idx="3">
                  <c:v>688.27573887442895</c:v>
                </c:pt>
                <c:pt idx="4">
                  <c:v>39.225637812381422</c:v>
                </c:pt>
                <c:pt idx="5">
                  <c:v>-1.3793153459573659E-4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44-4CDB-B8D5-3B9E57633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447759"/>
        <c:axId val="1557402799"/>
      </c:scatterChart>
      <c:valAx>
        <c:axId val="19144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Chance of ingestion during</a:t>
                </a:r>
                <a:r>
                  <a:rPr lang="en-US" baseline="0"/>
                  <a:t> irrigation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7402799"/>
        <c:crosses val="autoZero"/>
        <c:crossBetween val="midCat"/>
      </c:valAx>
      <c:valAx>
        <c:axId val="15574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DALY value 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(Lakh 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44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Conc(Campylobacter)</a:t>
            </a:r>
            <a:r>
              <a:rPr lang="en-US" baseline="0"/>
              <a:t> in BAU</a:t>
            </a:r>
            <a:r>
              <a:rPr lang="en-US"/>
              <a:t> vs Net DALY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Sensitivity!$D$42</c:f>
              <c:strCache>
                <c:ptCount val="1"/>
                <c:pt idx="0">
                  <c:v>Net DALY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397958865593113E-2"/>
                  <c:y val="-0.45566017789442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L"/>
                </a:p>
              </c:txPr>
            </c:trendlineLbl>
          </c:trendline>
          <c:xVal>
            <c:numRef>
              <c:f>Sensitivity!$A$43:$A$47</c:f>
              <c:numCache>
                <c:formatCode>General</c:formatCode>
                <c:ptCount val="5"/>
                <c:pt idx="0" formatCode="0.0000000">
                  <c:v>7.5239999999999997E-4</c:v>
                </c:pt>
                <c:pt idx="1">
                  <c:v>3.7619999999999997E-3</c:v>
                </c:pt>
                <c:pt idx="2">
                  <c:v>7.5239999999999994E-3</c:v>
                </c:pt>
                <c:pt idx="3">
                  <c:v>9.8940599999999997E-3</c:v>
                </c:pt>
                <c:pt idx="4">
                  <c:v>9.9089349479999991E-3</c:v>
                </c:pt>
              </c:numCache>
            </c:numRef>
          </c:xVal>
          <c:yVal>
            <c:numRef>
              <c:f>Sensitivity!$D$43:$D$47</c:f>
              <c:numCache>
                <c:formatCode>General</c:formatCode>
                <c:ptCount val="5"/>
                <c:pt idx="0">
                  <c:v>1466.5371529419474</c:v>
                </c:pt>
                <c:pt idx="1">
                  <c:v>981.25727694739942</c:v>
                </c:pt>
                <c:pt idx="2">
                  <c:v>379.14562480221889</c:v>
                </c:pt>
                <c:pt idx="3">
                  <c:v>2.3587833231495097</c:v>
                </c:pt>
                <c:pt idx="4">
                  <c:v>1.7821100846049376E-4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A5-4684-A6B5-1A149E7B0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447759"/>
        <c:axId val="1557402799"/>
      </c:scatterChart>
      <c:valAx>
        <c:axId val="19144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 of campylobacter (orgs/L)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7402799"/>
        <c:crosses val="autoZero"/>
        <c:crossBetween val="midCat"/>
      </c:valAx>
      <c:valAx>
        <c:axId val="15574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DALY value 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(Lakh 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44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Conc(Campylobacter)</a:t>
            </a:r>
            <a:r>
              <a:rPr lang="en-US" baseline="0"/>
              <a:t> in BAU</a:t>
            </a:r>
            <a:r>
              <a:rPr lang="en-US"/>
              <a:t> vs Net DALY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Sensitivity!$D$49</c:f>
              <c:strCache>
                <c:ptCount val="1"/>
                <c:pt idx="0">
                  <c:v>Net DALY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397958865593113E-2"/>
                  <c:y val="-0.45566017789442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L"/>
                </a:p>
              </c:txPr>
            </c:trendlineLbl>
          </c:trendline>
          <c:xVal>
            <c:numRef>
              <c:f>Sensitivity!$A$50:$A$56</c:f>
              <c:numCache>
                <c:formatCode>General</c:formatCode>
                <c:ptCount val="7"/>
                <c:pt idx="0">
                  <c:v>75.239999999999995</c:v>
                </c:pt>
                <c:pt idx="1">
                  <c:v>150.47999999999999</c:v>
                </c:pt>
                <c:pt idx="2">
                  <c:v>37.619999999999997</c:v>
                </c:pt>
                <c:pt idx="3">
                  <c:v>7.524</c:v>
                </c:pt>
                <c:pt idx="4">
                  <c:v>3.762</c:v>
                </c:pt>
                <c:pt idx="5">
                  <c:v>2.8591199999999999</c:v>
                </c:pt>
                <c:pt idx="6">
                  <c:v>2.8571637599999997</c:v>
                </c:pt>
              </c:numCache>
            </c:numRef>
          </c:xVal>
          <c:yVal>
            <c:numRef>
              <c:f>Sensitivity!$D$50:$D$56</c:f>
              <c:numCache>
                <c:formatCode>General</c:formatCode>
                <c:ptCount val="7"/>
                <c:pt idx="0">
                  <c:v>1466.5371529419474</c:v>
                </c:pt>
                <c:pt idx="1">
                  <c:v>2853.3112842967103</c:v>
                </c:pt>
                <c:pt idx="2">
                  <c:v>721.32084019170702</c:v>
                </c:pt>
                <c:pt idx="3">
                  <c:v>98.714089997021844</c:v>
                </c:pt>
                <c:pt idx="4">
                  <c:v>19.185214061132044</c:v>
                </c:pt>
                <c:pt idx="5">
                  <c:v>4.1132274596023422E-2</c:v>
                </c:pt>
                <c:pt idx="6">
                  <c:v>-3.7063574248463738E-4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A5-4026-852C-47B60ED7E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447759"/>
        <c:axId val="1557402799"/>
      </c:scatterChart>
      <c:valAx>
        <c:axId val="19144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 of campylobacter (orgs/L)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7402799"/>
        <c:crosses val="autoZero"/>
        <c:crossBetween val="midCat"/>
      </c:valAx>
      <c:valAx>
        <c:axId val="15574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DALY value 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(Lakh 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444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18</xdr:row>
      <xdr:rowOff>179070</xdr:rowOff>
    </xdr:from>
    <xdr:to>
      <xdr:col>16</xdr:col>
      <xdr:colOff>327660</xdr:colOff>
      <xdr:row>33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6C215A-FEC5-E947-B73D-F0338EF4A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198120</xdr:colOff>
      <xdr:row>34</xdr:row>
      <xdr:rowOff>114300</xdr:rowOff>
    </xdr:from>
    <xdr:to>
      <xdr:col>16</xdr:col>
      <xdr:colOff>350520</xdr:colOff>
      <xdr:row>49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0D06BF-A42F-49EC-A9EB-5FBF44C8E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198120</xdr:colOff>
      <xdr:row>51</xdr:row>
      <xdr:rowOff>0</xdr:rowOff>
    </xdr:from>
    <xdr:to>
      <xdr:col>16</xdr:col>
      <xdr:colOff>320040</xdr:colOff>
      <xdr:row>66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21B284-8171-481F-8406-07B44D491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16</xdr:col>
      <xdr:colOff>121920</xdr:colOff>
      <xdr:row>82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52D721-74AD-48C0-8F15-6D3C668D1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shep Trinetra" id="{FE2D963A-2BA4-489E-862B-81002A22D391}" userId="972630c3e8f5218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ABD0CE-154A-4CF2-ABFE-2A3C2E024F5B}" name="Table7" displayName="Table7" ref="A61:E65" totalsRowShown="0" headerRowDxfId="18">
  <autoFilter ref="A61:E65" xr:uid="{D1ABD0CE-154A-4CF2-ABFE-2A3C2E024F5B}"/>
  <tableColumns count="5">
    <tableColumn id="1" xr3:uid="{4788A060-0295-4E62-8B2A-BBF323E7C5C7}" name="Variant" dataDxfId="17"/>
    <tableColumn id="2" xr3:uid="{7F8F064F-3AAC-4E10-BAEF-0F3BF466D243}" name="Min of range"/>
    <tableColumn id="3" xr3:uid="{A3BC8F4E-607A-4426-9EDA-7950D3B346D0}" name="Max of range"/>
    <tableColumn id="4" xr3:uid="{0C87D6A5-364D-42CA-825E-A33C09017B8D}" name="Value at which net DALY value turns negative"/>
    <tableColumn id="5" xr3:uid="{ED41B741-DE87-4455-ABE8-08DFEC78E9C3}" name="Slope (Lakh Rs per unit change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EBF0B-3E43-4EC9-9C82-50CF16686D7E}" name="Table1" displayName="Table1" ref="A2:H53" totalsRowShown="0" headerRowDxfId="16">
  <autoFilter ref="A2:H53" xr:uid="{7F2EBF0B-3E43-4EC9-9C82-50CF16686D7E}"/>
  <tableColumns count="8">
    <tableColumn id="1" xr3:uid="{D33FD1D6-905E-4F21-AC8D-393E8BC1C7A4}" name="S. No."/>
    <tableColumn id="2" xr3:uid="{F181A945-783A-40F9-B793-66D52999110A}" name="STP"/>
    <tableColumn id="3" xr3:uid="{FC2B8E49-4FF4-4CF0-862D-EFE0630A0393}" name="Location"/>
    <tableColumn id="4" xr3:uid="{61AE13CB-F870-4363-BFBA-83F466701297}" name="Total capacity utilized (MLD)"/>
    <tableColumn id="5" xr3:uid="{2C67A455-FAD0-4387-9DC1-5A35B07B2F07}" name="Capacity utilized (MLD)"/>
    <tableColumn id="6" xr3:uid="{D5F520F7-38A7-402D-9468-0D8823CCCBD9}" name="Tread sewage reused (MLD)"/>
    <tableColumn id="7" xr3:uid="{F9EAA43C-7602-4DDC-80BA-E0F38D05D9EC}" name="Used for"/>
    <tableColumn id="8" xr3:uid="{AF798054-485A-4C9F-8A80-CC09E5E21FCD}" name="Use_case_code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55BAB-B956-4523-A1E5-02FDEFEC5A66}" name="Table2" displayName="Table2" ref="A57:G68" totalsRowShown="0" headerRowDxfId="15">
  <autoFilter ref="A57:G68" xr:uid="{E7555BAB-B956-4523-A1E5-02FDEFEC5A66}"/>
  <tableColumns count="7">
    <tableColumn id="1" xr3:uid="{F8E6D5C2-EA5C-4F6F-8F45-20DF24A1F9B4}" name="Parameters"/>
    <tableColumn id="2" xr3:uid="{32D272CA-EF96-4AD7-9E61-EDB5C0360AC5}" name="Pathogenic E. coli - Melapura" dataDxfId="14"/>
    <tableColumn id="3" xr3:uid="{28D1CB3A-9E98-4139-BC94-7DFAAFABB56A}" name="Pathogenic E. coli - Hongally" dataDxfId="13"/>
    <tableColumn id="4" xr3:uid="{1E21F312-C6D8-4C50-AEED-18FF51EDA708}" name="Rotavirus - Melapura" dataDxfId="12"/>
    <tableColumn id="5" xr3:uid="{39FDA76A-DB49-4B10-857E-8D676229D501}" name="Rotavirus - Hongally" dataDxfId="11"/>
    <tableColumn id="6" xr3:uid="{A1F91209-B416-4092-95C5-C8F05E7FE7C0}" name="Campylobacter - Melapura" dataDxfId="10"/>
    <tableColumn id="7" xr3:uid="{24E61EF7-5022-4321-A821-D48CF4DAAAED}" name="Campylobacter - Hongally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BB3B50-E7E0-4DBF-AD24-74CA8E5A1DF2}" name="Table3" displayName="Table3" ref="A71:F75" totalsRowShown="0" headerRowDxfId="8">
  <autoFilter ref="A71:F75" xr:uid="{45BB3B50-E7E0-4DBF-AD24-74CA8E5A1DF2}"/>
  <tableColumns count="6">
    <tableColumn id="1" xr3:uid="{CE369343-BAB2-42C9-95CC-1200E6F264A8}" name="District"/>
    <tableColumn id="2" xr3:uid="{417D003C-6434-4347-9396-3B5D5C8E3909}" name="WPR % (pg 58)" dataDxfId="7" dataCellStyle="Percent"/>
    <tableColumn id="3" xr3:uid="{D3B4D05E-9102-4545-BD60-382011316498}" name="Cultivators % of workers (pg 68)" dataDxfId="6" dataCellStyle="Percent"/>
    <tableColumn id="4" xr3:uid="{2ADE67C0-1CE4-4445-9DBC-7053D1F7965C}" name="Agri. labourers % of workers (pg 71)" dataDxfId="5" dataCellStyle="Percent"/>
    <tableColumn id="5" xr3:uid="{FF2D7F19-F727-4603-A130-97326ECA486E}" name="Field workers % of workers (sum)" dataDxfId="4" dataCellStyle="Percent">
      <calculatedColumnFormula xml:space="preserve"> Table3[[#This Row],[Cultivators % of workers (pg 68)]]+Table3[[#This Row],[Agri. labourers % of workers (pg 71)]]</calculatedColumnFormula>
    </tableColumn>
    <tableColumn id="6" xr3:uid="{AA90C3EE-0727-4BAB-9591-56B1AA0F400E}" name="Field workers % of total population" dataDxfId="3" dataCellStyle="Percent">
      <calculatedColumnFormula>Table3[[#This Row],[Field workers % of workers (sum)]]*Table3[[#This Row],[WPR % (pg 58)]]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EE5A91-0F51-41A5-BC5F-B7E6E1BCDEC6}" name="Table4" displayName="Table4" ref="A78:G84" totalsRowShown="0" headerRowDxfId="2">
  <autoFilter ref="A78:G84" xr:uid="{5DEE5A91-0F51-41A5-BC5F-B7E6E1BCDEC6}"/>
  <tableColumns count="7">
    <tableColumn id="1" xr3:uid="{F4F7DC13-956F-4B9D-9482-27F56822392C}" name="Reuse option"/>
    <tableColumn id="2" xr3:uid="{5B130CE7-7283-4F3C-BD6F-6972C387E272}" name="Exposed population"/>
    <tableColumn id="3" xr3:uid="{0558B2A0-2958-48B4-B9A4-C6C66B9E2762}" name="Exposure route"/>
    <tableColumn id="4" xr3:uid="{F72248A4-4839-43AC-934B-D5A67A4680BB}" name="Vi (ingested volume per event)"/>
    <tableColumn id="5" xr3:uid="{255CBCC8-CE32-4BF1-A3E9-6806D160DAA2}" name="Distribution"/>
    <tableColumn id="6" xr3:uid="{C8DC6441-AF12-412E-A509-DFFCE62D9653}" name="f (events/year)"/>
    <tableColumn id="7" xr3:uid="{3F91DE02-2567-4921-B200-3095961D1E30}" name="Referenc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7F6852-A54A-4B91-A865-7047A2163D4B}" name="Table5" displayName="Table5" ref="A87:G99" totalsRowShown="0" headerRowDxfId="1">
  <autoFilter ref="A87:G99" xr:uid="{9C7F6852-A54A-4B91-A865-7047A2163D4B}"/>
  <tableColumns count="7">
    <tableColumn id="1" xr3:uid="{A56CDBCD-C3B3-4C2F-B6E3-219B21EC83BC}" name="Pathogen"/>
    <tableColumn id="2" xr3:uid="{35A55019-1639-4CE0-A02C-8B6776340D33}" name="Outcome"/>
    <tableColumn id="3" xr3:uid="{0E2FDD4E-6694-47A0-B3FA-A0BC2B9A04E2}" name="Severity"/>
    <tableColumn id="4" xr3:uid="{B86FC71E-2C27-4B5D-B830-073313FB3CAB}" name="Duration (days)"/>
    <tableColumn id="5" xr3:uid="{3DA3E2BF-8DB1-406A-A8A6-A909D8ECC0AA}" name="Duration (years)"/>
    <tableColumn id="6" xr3:uid="{FF98637C-9AC4-450F-B44A-F4C6664DDC66}" name="Disease burden formula shown"/>
    <tableColumn id="7" xr3:uid="{7272A7CC-210C-47C9-935E-546CDC04BBF3}" name="DALY per case (row)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BEE7BD-9A9D-4D61-B5C5-6BEE752D7A8C}" name="Table6" displayName="Table6" ref="A102:G106" totalsRowShown="0" headerRowDxfId="0">
  <autoFilter ref="A102:G106" xr:uid="{74BEE7BD-9A9D-4D61-B5C5-6BEE752D7A8C}"/>
  <tableColumns count="7">
    <tableColumn id="1" xr3:uid="{87D0BB39-0C3F-48B7-A658-0DE89B4B3557}" name="Skill category"/>
    <tableColumn id="2" xr3:uid="{7A1142EC-A9C6-431B-81DE-7E8EA3AFBEAE}" name="Zone 1 - Per day"/>
    <tableColumn id="3" xr3:uid="{E26D26D7-6314-40C6-BE34-61BC6F2A71E3}" name="Zone 1 - Per month"/>
    <tableColumn id="4" xr3:uid="{C9BE1380-831F-4243-89C7-12C99EC1AF2F}" name="Zone 2 - Per day"/>
    <tableColumn id="5" xr3:uid="{0D040DBC-2F2A-48AA-BE0E-3066AE254D0B}" name="Zone 2 - Per month"/>
    <tableColumn id="6" xr3:uid="{2510CB66-3975-4154-9828-21C504D8C52A}" name="Zone 3 - Per day"/>
    <tableColumn id="7" xr3:uid="{1916F7E0-D0B8-4870-914B-BAB5AF50C50A}" name="Zone 3 - Per mon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8" dT="2026-09-26T09:13:13.46" personId="{FE2D963A-2BA4-489E-862B-81002A22D391}" id="{2B996C24-8E07-4D89-A877-6A2A7756994D}">
    <text>Raw water is mainly from river cauvery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hyperlink" Target="https://prsindia.org/budgets/states/karnataka-budget-analysis-2026-27" TargetMode="External"/><Relationship Id="rId1" Type="http://schemas.openxmlformats.org/officeDocument/2006/relationships/hyperlink" Target="https://karmikaspandana.karnataka.gov.in/47/minimum-wages-final-notification/en" TargetMode="External"/><Relationship Id="rId6" Type="http://schemas.openxmlformats.org/officeDocument/2006/relationships/table" Target="../tables/table4.xml"/><Relationship Id="rId11" Type="http://schemas.microsoft.com/office/2017/10/relationships/threadedComment" Target="../threadedComments/threadedComment1.xml"/><Relationship Id="rId5" Type="http://schemas.openxmlformats.org/officeDocument/2006/relationships/table" Target="../tables/table3.xml"/><Relationship Id="rId10" Type="http://schemas.openxmlformats.org/officeDocument/2006/relationships/comments" Target="../comments1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0364-45F2-4B8F-B489-34C8834CD82A}">
  <dimension ref="A1:E108"/>
  <sheetViews>
    <sheetView topLeftCell="A88" workbookViewId="0">
      <selection activeCell="B39" sqref="B39"/>
    </sheetView>
  </sheetViews>
  <sheetFormatPr defaultRowHeight="14.4" x14ac:dyDescent="0.3"/>
  <cols>
    <col min="1" max="1" width="54.77734375" bestFit="1" customWidth="1"/>
    <col min="2" max="2" width="14" customWidth="1"/>
    <col min="3" max="3" width="25.109375" bestFit="1" customWidth="1"/>
    <col min="4" max="4" width="32.33203125" bestFit="1" customWidth="1"/>
    <col min="5" max="5" width="70" customWidth="1"/>
  </cols>
  <sheetData>
    <row r="1" spans="1:5" s="11" customFormat="1" ht="18" x14ac:dyDescent="0.35">
      <c r="A1" s="10" t="s">
        <v>49</v>
      </c>
      <c r="B1" s="10" t="s">
        <v>0</v>
      </c>
      <c r="C1" s="10" t="s">
        <v>1</v>
      </c>
      <c r="D1" s="10" t="s">
        <v>2</v>
      </c>
      <c r="E1" s="10" t="s">
        <v>3</v>
      </c>
    </row>
    <row r="2" spans="1:5" x14ac:dyDescent="0.3">
      <c r="A2" s="2" t="s">
        <v>174</v>
      </c>
    </row>
    <row r="3" spans="1:5" x14ac:dyDescent="0.3">
      <c r="A3" t="s">
        <v>175</v>
      </c>
      <c r="B3">
        <f>SUMIF(Sources!$H$3:$H$35,1,Sources!$F$3:$F$35)</f>
        <v>564.69000000000005</v>
      </c>
      <c r="C3" t="s">
        <v>4</v>
      </c>
      <c r="D3" t="s">
        <v>247</v>
      </c>
    </row>
    <row r="4" spans="1:5" x14ac:dyDescent="0.3">
      <c r="A4" t="s">
        <v>33</v>
      </c>
      <c r="B4">
        <v>187</v>
      </c>
      <c r="C4" t="s">
        <v>34</v>
      </c>
      <c r="D4" t="s">
        <v>313</v>
      </c>
      <c r="E4" t="s">
        <v>177</v>
      </c>
    </row>
    <row r="5" spans="1:5" x14ac:dyDescent="0.3">
      <c r="A5" t="s">
        <v>170</v>
      </c>
      <c r="B5" s="7">
        <f xml:space="preserve"> B3/B4</f>
        <v>3.0197326203208559</v>
      </c>
      <c r="C5" t="s">
        <v>171</v>
      </c>
      <c r="D5" t="s">
        <v>10</v>
      </c>
    </row>
    <row r="7" spans="1:5" x14ac:dyDescent="0.3">
      <c r="A7" s="2" t="s">
        <v>173</v>
      </c>
    </row>
    <row r="8" spans="1:5" x14ac:dyDescent="0.3">
      <c r="A8" t="s">
        <v>130</v>
      </c>
      <c r="B8">
        <v>38000</v>
      </c>
      <c r="C8" t="s">
        <v>5</v>
      </c>
      <c r="D8" t="s">
        <v>314</v>
      </c>
    </row>
    <row r="9" spans="1:5" x14ac:dyDescent="0.3">
      <c r="A9" t="s">
        <v>154</v>
      </c>
      <c r="B9" s="4">
        <f>Sources!F75</f>
        <v>0.21381086999999999</v>
      </c>
      <c r="C9" t="s">
        <v>128</v>
      </c>
      <c r="D9" t="s">
        <v>168</v>
      </c>
      <c r="E9" t="s">
        <v>178</v>
      </c>
    </row>
    <row r="10" spans="1:5" x14ac:dyDescent="0.3">
      <c r="A10" s="8" t="s">
        <v>153</v>
      </c>
      <c r="B10" s="9">
        <f xml:space="preserve"> $B$8*$B$9</f>
        <v>8124.8130599999995</v>
      </c>
      <c r="C10" s="8" t="s">
        <v>5</v>
      </c>
      <c r="D10" s="8" t="s">
        <v>10</v>
      </c>
      <c r="E10" s="1"/>
    </row>
    <row r="11" spans="1:5" x14ac:dyDescent="0.3">
      <c r="A11" s="8" t="s">
        <v>172</v>
      </c>
      <c r="B11" s="9">
        <f xml:space="preserve"> B8-B10</f>
        <v>29875.18694</v>
      </c>
      <c r="C11" s="8" t="s">
        <v>5</v>
      </c>
      <c r="D11" s="8" t="s">
        <v>10</v>
      </c>
      <c r="E11" s="1"/>
    </row>
    <row r="13" spans="1:5" x14ac:dyDescent="0.3">
      <c r="A13" s="2" t="s">
        <v>230</v>
      </c>
    </row>
    <row r="14" spans="1:5" x14ac:dyDescent="0.3">
      <c r="A14" t="s">
        <v>152</v>
      </c>
      <c r="B14">
        <v>2090000</v>
      </c>
      <c r="C14" t="s">
        <v>129</v>
      </c>
      <c r="D14" t="s">
        <v>314</v>
      </c>
      <c r="E14" t="s">
        <v>150</v>
      </c>
    </row>
    <row r="15" spans="1:5" x14ac:dyDescent="0.3">
      <c r="A15" t="s">
        <v>169</v>
      </c>
      <c r="B15">
        <v>9</v>
      </c>
      <c r="C15" t="s">
        <v>54</v>
      </c>
      <c r="D15" t="s">
        <v>315</v>
      </c>
    </row>
    <row r="16" spans="1:5" x14ac:dyDescent="0.3">
      <c r="A16" t="s">
        <v>179</v>
      </c>
      <c r="B16">
        <f>Sources!A112</f>
        <v>159000</v>
      </c>
      <c r="C16" t="s">
        <v>129</v>
      </c>
      <c r="D16" t="s">
        <v>316</v>
      </c>
      <c r="E16" t="s">
        <v>180</v>
      </c>
    </row>
    <row r="17" spans="1:5" x14ac:dyDescent="0.3">
      <c r="A17" t="s">
        <v>155</v>
      </c>
      <c r="B17" s="3">
        <v>0.84</v>
      </c>
      <c r="C17" t="s">
        <v>128</v>
      </c>
      <c r="D17" t="s">
        <v>317</v>
      </c>
      <c r="E17" t="s">
        <v>181</v>
      </c>
    </row>
    <row r="18" spans="1:5" x14ac:dyDescent="0.3">
      <c r="A18" t="s">
        <v>156</v>
      </c>
      <c r="B18" s="3">
        <v>0.08</v>
      </c>
      <c r="C18" t="s">
        <v>128</v>
      </c>
      <c r="D18" t="s">
        <v>9</v>
      </c>
      <c r="E18" t="s">
        <v>182</v>
      </c>
    </row>
    <row r="19" spans="1:5" x14ac:dyDescent="0.3">
      <c r="A19" t="s">
        <v>157</v>
      </c>
      <c r="B19" s="3">
        <v>0.08</v>
      </c>
      <c r="C19" t="s">
        <v>128</v>
      </c>
      <c r="D19" t="s">
        <v>9</v>
      </c>
      <c r="E19" t="s">
        <v>182</v>
      </c>
    </row>
    <row r="20" spans="1:5" x14ac:dyDescent="0.3">
      <c r="A20" t="s">
        <v>183</v>
      </c>
      <c r="B20">
        <f xml:space="preserve"> $B$16*B17</f>
        <v>133560</v>
      </c>
      <c r="C20" t="s">
        <v>129</v>
      </c>
      <c r="D20" t="s">
        <v>10</v>
      </c>
    </row>
    <row r="21" spans="1:5" x14ac:dyDescent="0.3">
      <c r="A21" t="s">
        <v>184</v>
      </c>
      <c r="B21">
        <f t="shared" ref="B21:B22" si="0" xml:space="preserve"> $B$16*B18</f>
        <v>12720</v>
      </c>
      <c r="C21" t="s">
        <v>129</v>
      </c>
      <c r="D21" t="s">
        <v>10</v>
      </c>
    </row>
    <row r="22" spans="1:5" x14ac:dyDescent="0.3">
      <c r="A22" t="s">
        <v>185</v>
      </c>
      <c r="B22">
        <f t="shared" si="0"/>
        <v>12720</v>
      </c>
      <c r="C22" t="s">
        <v>129</v>
      </c>
      <c r="D22" t="s">
        <v>10</v>
      </c>
    </row>
    <row r="24" spans="1:5" s="2" customFormat="1" x14ac:dyDescent="0.3">
      <c r="A24" s="2" t="s">
        <v>236</v>
      </c>
    </row>
    <row r="25" spans="1:5" x14ac:dyDescent="0.3">
      <c r="A25" s="8" t="s">
        <v>233</v>
      </c>
      <c r="B25" s="13">
        <f xml:space="preserve"> (B20/B10) + (B21/B8) + (B22/B8)</f>
        <v>17.108005748110095</v>
      </c>
      <c r="C25" s="8" t="s">
        <v>151</v>
      </c>
      <c r="D25" t="s">
        <v>10</v>
      </c>
      <c r="E25" s="8" t="s">
        <v>186</v>
      </c>
    </row>
    <row r="26" spans="1:5" x14ac:dyDescent="0.3">
      <c r="A26" s="8" t="s">
        <v>232</v>
      </c>
      <c r="B26" s="13">
        <f xml:space="preserve"> (B21/B8) + (B22/B8)</f>
        <v>0.66947368421052633</v>
      </c>
      <c r="C26" s="8" t="s">
        <v>151</v>
      </c>
      <c r="D26" t="s">
        <v>10</v>
      </c>
      <c r="E26" s="8" t="s">
        <v>187</v>
      </c>
    </row>
    <row r="27" spans="1:5" x14ac:dyDescent="0.3">
      <c r="A27" s="1"/>
      <c r="B27" s="1"/>
      <c r="C27" s="1"/>
      <c r="D27" s="1"/>
      <c r="E27" s="1"/>
    </row>
    <row r="28" spans="1:5" x14ac:dyDescent="0.3">
      <c r="A28" t="s">
        <v>188</v>
      </c>
      <c r="B28" s="14">
        <v>1.0000000000000001E-5</v>
      </c>
      <c r="C28" t="s">
        <v>128</v>
      </c>
      <c r="D28" t="s">
        <v>189</v>
      </c>
      <c r="E28" t="s">
        <v>190</v>
      </c>
    </row>
    <row r="29" spans="1:5" x14ac:dyDescent="0.3">
      <c r="A29" t="s">
        <v>229</v>
      </c>
      <c r="B29" s="4">
        <f xml:space="preserve"> B28*10</f>
        <v>1E-4</v>
      </c>
      <c r="C29" t="s">
        <v>128</v>
      </c>
      <c r="D29" t="s">
        <v>9</v>
      </c>
      <c r="E29" t="s">
        <v>48</v>
      </c>
    </row>
    <row r="30" spans="1:5" x14ac:dyDescent="0.3">
      <c r="A30" t="s">
        <v>228</v>
      </c>
      <c r="B30" s="3">
        <v>1</v>
      </c>
      <c r="C30" t="s">
        <v>128</v>
      </c>
      <c r="D30" t="s">
        <v>9</v>
      </c>
    </row>
    <row r="32" spans="1:5" x14ac:dyDescent="0.3">
      <c r="A32" t="s">
        <v>234</v>
      </c>
      <c r="B32" s="6">
        <f xml:space="preserve"> B28*(B20/B10) + B29*(B21/B8) + B30*(B22/B8)</f>
        <v>0.3349347011101127</v>
      </c>
      <c r="C32" s="8" t="s">
        <v>151</v>
      </c>
      <c r="D32" t="s">
        <v>10</v>
      </c>
    </row>
    <row r="33" spans="1:5" x14ac:dyDescent="0.3">
      <c r="A33" t="s">
        <v>235</v>
      </c>
      <c r="B33" s="6">
        <f xml:space="preserve"> B29*(B21/B8) + B30*(B22/B8)</f>
        <v>0.33477031578947369</v>
      </c>
      <c r="C33" s="8" t="s">
        <v>151</v>
      </c>
      <c r="D33" t="s">
        <v>10</v>
      </c>
    </row>
    <row r="35" spans="1:5" x14ac:dyDescent="0.3">
      <c r="A35" s="2" t="s">
        <v>50</v>
      </c>
    </row>
    <row r="36" spans="1:5" x14ac:dyDescent="0.3">
      <c r="A36" t="s">
        <v>6</v>
      </c>
      <c r="B36" s="5">
        <f xml:space="preserve"> MIN(Sources!$B$59:$C$59)</f>
        <v>9.1199999999999994E-5</v>
      </c>
      <c r="C36" t="s">
        <v>231</v>
      </c>
      <c r="D36" t="s">
        <v>246</v>
      </c>
      <c r="E36" t="s">
        <v>245</v>
      </c>
    </row>
    <row r="37" spans="1:5" x14ac:dyDescent="0.3">
      <c r="A37" t="s">
        <v>7</v>
      </c>
      <c r="B37" s="5">
        <f xml:space="preserve"> MIN(Sources!$D$59:$E$59)</f>
        <v>1.14E-8</v>
      </c>
      <c r="C37" t="s">
        <v>231</v>
      </c>
      <c r="D37" t="s">
        <v>246</v>
      </c>
      <c r="E37" t="s">
        <v>245</v>
      </c>
    </row>
    <row r="38" spans="1:5" x14ac:dyDescent="0.3">
      <c r="A38" t="s">
        <v>8</v>
      </c>
      <c r="B38" s="5">
        <f xml:space="preserve"> MIN(Sources!$F$59:$G$59)</f>
        <v>7.5239999999999997E-4</v>
      </c>
      <c r="C38" t="s">
        <v>231</v>
      </c>
      <c r="D38" t="s">
        <v>246</v>
      </c>
      <c r="E38" t="s">
        <v>245</v>
      </c>
    </row>
    <row r="40" spans="1:5" x14ac:dyDescent="0.3">
      <c r="A40" s="2" t="s">
        <v>237</v>
      </c>
    </row>
    <row r="41" spans="1:5" x14ac:dyDescent="0.3">
      <c r="A41" t="s">
        <v>238</v>
      </c>
      <c r="B41" s="5">
        <f xml:space="preserve"> $B$32*B36</f>
        <v>3.0546044741242275E-5</v>
      </c>
      <c r="C41" t="s">
        <v>244</v>
      </c>
      <c r="D41" t="s">
        <v>10</v>
      </c>
      <c r="E41" t="s">
        <v>291</v>
      </c>
    </row>
    <row r="42" spans="1:5" x14ac:dyDescent="0.3">
      <c r="A42" t="s">
        <v>239</v>
      </c>
      <c r="B42" s="5">
        <f xml:space="preserve"> $B$32*B37</f>
        <v>3.8182555926552849E-9</v>
      </c>
      <c r="C42" t="s">
        <v>244</v>
      </c>
      <c r="D42" t="s">
        <v>10</v>
      </c>
    </row>
    <row r="43" spans="1:5" x14ac:dyDescent="0.3">
      <c r="A43" t="s">
        <v>240</v>
      </c>
      <c r="B43" s="5">
        <f xml:space="preserve"> $B$32*B38</f>
        <v>2.520048691152488E-4</v>
      </c>
      <c r="C43" t="s">
        <v>244</v>
      </c>
      <c r="D43" t="s">
        <v>10</v>
      </c>
    </row>
    <row r="44" spans="1:5" x14ac:dyDescent="0.3">
      <c r="A44" t="s">
        <v>241</v>
      </c>
      <c r="B44" s="5">
        <f xml:space="preserve"> $B$33*B36</f>
        <v>3.0531052799999998E-5</v>
      </c>
      <c r="C44" t="s">
        <v>244</v>
      </c>
      <c r="D44" t="s">
        <v>10</v>
      </c>
    </row>
    <row r="45" spans="1:5" x14ac:dyDescent="0.3">
      <c r="A45" t="s">
        <v>242</v>
      </c>
      <c r="B45" s="5">
        <f t="shared" ref="B45:B46" si="1" xml:space="preserve"> $B$33*B37</f>
        <v>3.8163816000000001E-9</v>
      </c>
      <c r="C45" t="s">
        <v>244</v>
      </c>
      <c r="D45" t="s">
        <v>10</v>
      </c>
    </row>
    <row r="46" spans="1:5" x14ac:dyDescent="0.3">
      <c r="A46" t="s">
        <v>243</v>
      </c>
      <c r="B46" s="5">
        <f t="shared" si="1"/>
        <v>2.5188118560000002E-4</v>
      </c>
      <c r="C46" t="s">
        <v>244</v>
      </c>
      <c r="D46" t="s">
        <v>10</v>
      </c>
    </row>
    <row r="48" spans="1:5" x14ac:dyDescent="0.3">
      <c r="A48" s="2" t="s">
        <v>51</v>
      </c>
    </row>
    <row r="49" spans="1:5" x14ac:dyDescent="0.3">
      <c r="A49" t="s">
        <v>11</v>
      </c>
      <c r="B49" s="5">
        <f>Sources!B61</f>
        <v>1E-3</v>
      </c>
      <c r="C49" t="s">
        <v>12</v>
      </c>
      <c r="D49" t="s">
        <v>13</v>
      </c>
      <c r="E49" t="s">
        <v>14</v>
      </c>
    </row>
    <row r="50" spans="1:5" x14ac:dyDescent="0.3">
      <c r="A50" t="s">
        <v>15</v>
      </c>
      <c r="B50" s="5">
        <f>Sources!D61</f>
        <v>0.27</v>
      </c>
      <c r="C50" t="s">
        <v>12</v>
      </c>
      <c r="D50" t="s">
        <v>13</v>
      </c>
    </row>
    <row r="51" spans="1:5" x14ac:dyDescent="0.3">
      <c r="A51" t="s">
        <v>16</v>
      </c>
      <c r="B51" s="5">
        <f>Sources!F61</f>
        <v>1.7999999999999999E-2</v>
      </c>
      <c r="C51" t="s">
        <v>12</v>
      </c>
      <c r="D51" t="s">
        <v>13</v>
      </c>
    </row>
    <row r="53" spans="1:5" x14ac:dyDescent="0.3">
      <c r="A53" t="s">
        <v>249</v>
      </c>
      <c r="B53">
        <f>Sources!B64</f>
        <v>0.25</v>
      </c>
      <c r="C53" t="s">
        <v>248</v>
      </c>
      <c r="D53" t="s">
        <v>13</v>
      </c>
      <c r="E53" t="s">
        <v>22</v>
      </c>
    </row>
    <row r="54" spans="1:5" x14ac:dyDescent="0.3">
      <c r="A54" t="s">
        <v>250</v>
      </c>
      <c r="B54">
        <f>Sources!D64</f>
        <v>0.5</v>
      </c>
      <c r="C54" t="s">
        <v>248</v>
      </c>
      <c r="D54" t="s">
        <v>13</v>
      </c>
    </row>
    <row r="55" spans="1:5" x14ac:dyDescent="0.3">
      <c r="A55" t="s">
        <v>251</v>
      </c>
      <c r="B55">
        <f>Sources!F64</f>
        <v>0.3</v>
      </c>
      <c r="C55" t="s">
        <v>248</v>
      </c>
      <c r="D55" t="s">
        <v>13</v>
      </c>
    </row>
    <row r="57" spans="1:5" x14ac:dyDescent="0.3">
      <c r="A57" t="s">
        <v>252</v>
      </c>
    </row>
    <row r="58" spans="1:5" x14ac:dyDescent="0.3">
      <c r="A58" t="s">
        <v>17</v>
      </c>
      <c r="B58" s="5">
        <f>B41*$B$49</f>
        <v>3.0546044741242273E-8</v>
      </c>
      <c r="C58" t="s">
        <v>254</v>
      </c>
      <c r="D58" t="s">
        <v>10</v>
      </c>
      <c r="E58" t="s">
        <v>18</v>
      </c>
    </row>
    <row r="59" spans="1:5" x14ac:dyDescent="0.3">
      <c r="A59" t="s">
        <v>19</v>
      </c>
      <c r="B59" s="5">
        <f>B42*$B$50</f>
        <v>1.030929010016927E-9</v>
      </c>
      <c r="C59" t="s">
        <v>254</v>
      </c>
      <c r="D59" t="s">
        <v>10</v>
      </c>
    </row>
    <row r="60" spans="1:5" x14ac:dyDescent="0.3">
      <c r="A60" t="s">
        <v>20</v>
      </c>
      <c r="B60" s="5">
        <f>B43*$B$51</f>
        <v>4.5360876440744781E-6</v>
      </c>
      <c r="C60" t="s">
        <v>254</v>
      </c>
      <c r="D60" t="s">
        <v>10</v>
      </c>
    </row>
    <row r="62" spans="1:5" x14ac:dyDescent="0.3">
      <c r="A62" t="s">
        <v>17</v>
      </c>
      <c r="B62">
        <f>1-((1-B58)^365)</f>
        <v>1.1149244337094188E-5</v>
      </c>
      <c r="C62" t="s">
        <v>255</v>
      </c>
      <c r="D62" t="s">
        <v>10</v>
      </c>
      <c r="E62" t="s">
        <v>21</v>
      </c>
    </row>
    <row r="63" spans="1:5" x14ac:dyDescent="0.3">
      <c r="A63" t="s">
        <v>19</v>
      </c>
      <c r="B63">
        <f>1-((1-B59)^365)</f>
        <v>3.7628901849995344E-7</v>
      </c>
      <c r="C63" t="s">
        <v>255</v>
      </c>
      <c r="D63" t="s">
        <v>10</v>
      </c>
    </row>
    <row r="64" spans="1:5" x14ac:dyDescent="0.3">
      <c r="A64" t="s">
        <v>20</v>
      </c>
      <c r="B64">
        <f>1-((1-B60)^365)</f>
        <v>1.6543058702730429E-3</v>
      </c>
      <c r="C64" t="s">
        <v>255</v>
      </c>
      <c r="D64" t="s">
        <v>10</v>
      </c>
    </row>
    <row r="66" spans="1:5" x14ac:dyDescent="0.3">
      <c r="A66" t="s">
        <v>23</v>
      </c>
      <c r="B66">
        <f>B62*$B$53</f>
        <v>2.7873110842735471E-6</v>
      </c>
      <c r="C66" t="s">
        <v>255</v>
      </c>
      <c r="D66" t="s">
        <v>10</v>
      </c>
      <c r="E66" t="s">
        <v>24</v>
      </c>
    </row>
    <row r="67" spans="1:5" x14ac:dyDescent="0.3">
      <c r="A67" t="s">
        <v>25</v>
      </c>
      <c r="B67">
        <f>B63*$B$54</f>
        <v>1.8814450924997672E-7</v>
      </c>
      <c r="C67" t="s">
        <v>255</v>
      </c>
      <c r="D67" t="s">
        <v>10</v>
      </c>
    </row>
    <row r="68" spans="1:5" x14ac:dyDescent="0.3">
      <c r="A68" t="s">
        <v>26</v>
      </c>
      <c r="B68">
        <f>B64*$B$55</f>
        <v>4.9629176108191282E-4</v>
      </c>
      <c r="C68" t="s">
        <v>255</v>
      </c>
      <c r="D68" t="s">
        <v>10</v>
      </c>
    </row>
    <row r="70" spans="1:5" x14ac:dyDescent="0.3">
      <c r="A70" s="2" t="s">
        <v>253</v>
      </c>
    </row>
    <row r="71" spans="1:5" x14ac:dyDescent="0.3">
      <c r="A71" t="s">
        <v>17</v>
      </c>
      <c r="B71" s="5">
        <f>B44*$B$49</f>
        <v>3.0531052800000001E-8</v>
      </c>
      <c r="C71" t="s">
        <v>254</v>
      </c>
      <c r="D71" t="s">
        <v>10</v>
      </c>
      <c r="E71" t="s">
        <v>18</v>
      </c>
    </row>
    <row r="72" spans="1:5" x14ac:dyDescent="0.3">
      <c r="A72" t="s">
        <v>19</v>
      </c>
      <c r="B72" s="5">
        <f>B45*$B$50</f>
        <v>1.0304230320000002E-9</v>
      </c>
      <c r="C72" t="s">
        <v>254</v>
      </c>
      <c r="D72" t="s">
        <v>10</v>
      </c>
    </row>
    <row r="73" spans="1:5" x14ac:dyDescent="0.3">
      <c r="A73" t="s">
        <v>20</v>
      </c>
      <c r="B73" s="5">
        <f>B46*$B$51</f>
        <v>4.5338613407999996E-6</v>
      </c>
      <c r="C73" t="s">
        <v>254</v>
      </c>
      <c r="D73" t="s">
        <v>10</v>
      </c>
    </row>
    <row r="75" spans="1:5" x14ac:dyDescent="0.3">
      <c r="A75" t="s">
        <v>17</v>
      </c>
      <c r="B75">
        <f>1-((1-B71)^365)</f>
        <v>1.1143772355226567E-5</v>
      </c>
      <c r="C75" t="s">
        <v>255</v>
      </c>
      <c r="D75" t="s">
        <v>10</v>
      </c>
      <c r="E75" t="s">
        <v>21</v>
      </c>
    </row>
    <row r="76" spans="1:5" x14ac:dyDescent="0.3">
      <c r="A76" t="s">
        <v>19</v>
      </c>
      <c r="B76">
        <f>1-((1-B72)^365)</f>
        <v>3.7610435454915603E-7</v>
      </c>
      <c r="C76" t="s">
        <v>255</v>
      </c>
      <c r="D76" t="s">
        <v>10</v>
      </c>
    </row>
    <row r="77" spans="1:5" x14ac:dyDescent="0.3">
      <c r="A77" t="s">
        <v>20</v>
      </c>
      <c r="B77">
        <f>1-((1-B73)^365)</f>
        <v>1.6534946098633041E-3</v>
      </c>
      <c r="C77" t="s">
        <v>255</v>
      </c>
      <c r="D77" t="s">
        <v>10</v>
      </c>
    </row>
    <row r="79" spans="1:5" x14ac:dyDescent="0.3">
      <c r="A79" t="s">
        <v>23</v>
      </c>
      <c r="B79">
        <f>B75*$B$53</f>
        <v>2.7859430888066417E-6</v>
      </c>
      <c r="C79" t="s">
        <v>255</v>
      </c>
      <c r="D79" t="s">
        <v>10</v>
      </c>
      <c r="E79" t="s">
        <v>24</v>
      </c>
    </row>
    <row r="80" spans="1:5" x14ac:dyDescent="0.3">
      <c r="A80" t="s">
        <v>25</v>
      </c>
      <c r="B80">
        <f>B76*$B$54</f>
        <v>1.8805217727457801E-7</v>
      </c>
      <c r="C80" t="s">
        <v>255</v>
      </c>
      <c r="D80" t="s">
        <v>10</v>
      </c>
    </row>
    <row r="81" spans="1:5" x14ac:dyDescent="0.3">
      <c r="A81" t="s">
        <v>26</v>
      </c>
      <c r="B81">
        <f>B77*$B$55</f>
        <v>4.9604838295899125E-4</v>
      </c>
      <c r="C81" t="s">
        <v>255</v>
      </c>
      <c r="D81" t="s">
        <v>10</v>
      </c>
    </row>
    <row r="83" spans="1:5" x14ac:dyDescent="0.3">
      <c r="A83" s="2" t="s">
        <v>256</v>
      </c>
    </row>
    <row r="84" spans="1:5" x14ac:dyDescent="0.3">
      <c r="A84" t="s">
        <v>257</v>
      </c>
      <c r="B84">
        <f>ROUND(($B$8/$B$15)*B4,0)</f>
        <v>789556</v>
      </c>
      <c r="C84" t="s">
        <v>5</v>
      </c>
      <c r="D84" t="s">
        <v>189</v>
      </c>
      <c r="E84" t="s">
        <v>35</v>
      </c>
    </row>
    <row r="85" spans="1:5" x14ac:dyDescent="0.3">
      <c r="A85" t="s">
        <v>154</v>
      </c>
      <c r="B85" s="12">
        <f xml:space="preserve"> Sources!F72</f>
        <v>0.22481535999999999</v>
      </c>
      <c r="C85" t="s">
        <v>128</v>
      </c>
      <c r="D85" t="s">
        <v>168</v>
      </c>
      <c r="E85" t="s">
        <v>258</v>
      </c>
    </row>
    <row r="86" spans="1:5" x14ac:dyDescent="0.3">
      <c r="A86" s="8" t="s">
        <v>153</v>
      </c>
      <c r="B86" s="15">
        <f xml:space="preserve"> B84*B85</f>
        <v>177504.31638015999</v>
      </c>
      <c r="C86" t="s">
        <v>5</v>
      </c>
      <c r="D86" t="s">
        <v>10</v>
      </c>
    </row>
    <row r="87" spans="1:5" x14ac:dyDescent="0.3">
      <c r="A87" s="8" t="s">
        <v>172</v>
      </c>
      <c r="B87" s="15">
        <f xml:space="preserve"> B84-B86</f>
        <v>612051.68361984007</v>
      </c>
      <c r="C87" t="s">
        <v>5</v>
      </c>
      <c r="D87" t="s">
        <v>10</v>
      </c>
    </row>
    <row r="89" spans="1:5" x14ac:dyDescent="0.3">
      <c r="A89" s="2" t="s">
        <v>52</v>
      </c>
    </row>
    <row r="90" spans="1:5" x14ac:dyDescent="0.3">
      <c r="A90" t="s">
        <v>27</v>
      </c>
      <c r="B90">
        <f>Sources!G91</f>
        <v>0.45</v>
      </c>
      <c r="C90" t="s">
        <v>28</v>
      </c>
      <c r="D90" t="s">
        <v>29</v>
      </c>
      <c r="E90" t="s">
        <v>30</v>
      </c>
    </row>
    <row r="91" spans="1:5" x14ac:dyDescent="0.3">
      <c r="A91" t="s">
        <v>31</v>
      </c>
      <c r="B91">
        <f>Sources!G99</f>
        <v>0.44</v>
      </c>
      <c r="C91" t="s">
        <v>28</v>
      </c>
      <c r="D91" t="s">
        <v>29</v>
      </c>
      <c r="E91" t="s">
        <v>30</v>
      </c>
    </row>
    <row r="92" spans="1:5" x14ac:dyDescent="0.3">
      <c r="A92" t="s">
        <v>32</v>
      </c>
      <c r="B92" s="5">
        <f>Sources!G95</f>
        <v>6.5199999999999994E-2</v>
      </c>
      <c r="C92" t="s">
        <v>28</v>
      </c>
      <c r="D92" t="s">
        <v>29</v>
      </c>
      <c r="E92" t="s">
        <v>30</v>
      </c>
    </row>
    <row r="94" spans="1:5" x14ac:dyDescent="0.3">
      <c r="A94" t="s">
        <v>252</v>
      </c>
    </row>
    <row r="95" spans="1:5" x14ac:dyDescent="0.3">
      <c r="A95" t="s">
        <v>310</v>
      </c>
      <c r="B95" s="7">
        <f>B66*$B$86*B90</f>
        <v>0.22264188684876834</v>
      </c>
      <c r="C95" t="s">
        <v>36</v>
      </c>
      <c r="D95" t="s">
        <v>10</v>
      </c>
      <c r="E95" t="s">
        <v>37</v>
      </c>
    </row>
    <row r="96" spans="1:5" x14ac:dyDescent="0.3">
      <c r="A96" t="s">
        <v>311</v>
      </c>
      <c r="B96" s="7">
        <f>B67*$B$86*B91</f>
        <v>1.4694443497843034E-2</v>
      </c>
      <c r="C96" t="s">
        <v>36</v>
      </c>
      <c r="D96" t="s">
        <v>10</v>
      </c>
    </row>
    <row r="97" spans="1:5" x14ac:dyDescent="0.3">
      <c r="A97" t="s">
        <v>312</v>
      </c>
      <c r="B97" s="7">
        <f>B68*$B$86*B92</f>
        <v>5.7437242213919806</v>
      </c>
      <c r="C97" t="s">
        <v>36</v>
      </c>
      <c r="D97" t="s">
        <v>10</v>
      </c>
    </row>
    <row r="98" spans="1:5" x14ac:dyDescent="0.3">
      <c r="B98" s="7"/>
    </row>
    <row r="99" spans="1:5" x14ac:dyDescent="0.3">
      <c r="A99" s="2" t="s">
        <v>253</v>
      </c>
      <c r="B99" s="7"/>
    </row>
    <row r="100" spans="1:5" x14ac:dyDescent="0.3">
      <c r="A100" t="s">
        <v>310</v>
      </c>
      <c r="B100" s="7">
        <f>B79*$B$87*B90</f>
        <v>0.76731352108792317</v>
      </c>
      <c r="C100" t="s">
        <v>36</v>
      </c>
      <c r="D100" t="s">
        <v>10</v>
      </c>
      <c r="E100" t="s">
        <v>37</v>
      </c>
    </row>
    <row r="101" spans="1:5" x14ac:dyDescent="0.3">
      <c r="A101" t="s">
        <v>311</v>
      </c>
      <c r="B101" s="7">
        <f t="shared" ref="B101:B102" si="2">B80*$B$87*B91</f>
        <v>5.0642966752084122E-2</v>
      </c>
      <c r="C101" t="s">
        <v>36</v>
      </c>
      <c r="D101" t="s">
        <v>10</v>
      </c>
    </row>
    <row r="102" spans="1:5" x14ac:dyDescent="0.3">
      <c r="A102" t="s">
        <v>312</v>
      </c>
      <c r="B102" s="7">
        <f t="shared" si="2"/>
        <v>19.795192566141122</v>
      </c>
      <c r="C102" t="s">
        <v>36</v>
      </c>
      <c r="D102" t="s">
        <v>10</v>
      </c>
    </row>
    <row r="103" spans="1:5" x14ac:dyDescent="0.3">
      <c r="B103" s="7"/>
    </row>
    <row r="104" spans="1:5" x14ac:dyDescent="0.3">
      <c r="A104" s="16" t="s">
        <v>259</v>
      </c>
      <c r="B104" s="19">
        <f>SUM(B95:B97,B100:B102)</f>
        <v>26.594209605719719</v>
      </c>
      <c r="C104" s="16" t="s">
        <v>36</v>
      </c>
      <c r="D104" s="1" t="s">
        <v>10</v>
      </c>
      <c r="E104" s="1" t="s">
        <v>38</v>
      </c>
    </row>
    <row r="106" spans="1:5" s="2" customFormat="1" x14ac:dyDescent="0.3">
      <c r="A106" s="2" t="s">
        <v>53</v>
      </c>
    </row>
    <row r="107" spans="1:5" x14ac:dyDescent="0.3">
      <c r="A107" t="s">
        <v>40</v>
      </c>
      <c r="B107">
        <f>Sources!D109</f>
        <v>477003</v>
      </c>
      <c r="C107" t="s">
        <v>41</v>
      </c>
      <c r="D107" t="s">
        <v>39</v>
      </c>
      <c r="E107" t="s">
        <v>42</v>
      </c>
    </row>
    <row r="108" spans="1:5" s="2" customFormat="1" x14ac:dyDescent="0.3">
      <c r="A108" s="17" t="s">
        <v>47</v>
      </c>
      <c r="B108" s="18">
        <f xml:space="preserve"> B104*B107/100000</f>
        <v>126.85517764557123</v>
      </c>
      <c r="C108" s="17" t="s">
        <v>46</v>
      </c>
      <c r="D108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3CF-85C1-482B-AA38-1F4FD5EDFE8C}">
  <dimension ref="A1:E108"/>
  <sheetViews>
    <sheetView tabSelected="1" workbookViewId="0">
      <selection activeCell="A11" sqref="A11"/>
    </sheetView>
  </sheetViews>
  <sheetFormatPr defaultRowHeight="14.4" x14ac:dyDescent="0.3"/>
  <cols>
    <col min="1" max="1" width="54.77734375" bestFit="1" customWidth="1"/>
    <col min="2" max="2" width="14" customWidth="1"/>
    <col min="3" max="3" width="25.109375" bestFit="1" customWidth="1"/>
    <col min="4" max="4" width="32.33203125" bestFit="1" customWidth="1"/>
    <col min="5" max="5" width="70" customWidth="1"/>
  </cols>
  <sheetData>
    <row r="1" spans="1:5" s="11" customFormat="1" ht="18" x14ac:dyDescent="0.35">
      <c r="A1" s="10" t="s">
        <v>361</v>
      </c>
      <c r="B1" s="10" t="s">
        <v>0</v>
      </c>
      <c r="C1" s="10" t="s">
        <v>1</v>
      </c>
      <c r="D1" s="10" t="s">
        <v>2</v>
      </c>
      <c r="E1" s="10" t="s">
        <v>3</v>
      </c>
    </row>
    <row r="2" spans="1:5" x14ac:dyDescent="0.3">
      <c r="A2" s="2" t="s">
        <v>174</v>
      </c>
    </row>
    <row r="3" spans="1:5" x14ac:dyDescent="0.3">
      <c r="A3" t="s">
        <v>307</v>
      </c>
      <c r="B3">
        <f>SUMIF(Sources!$H$3:$H$35,1,Sources!$F$3:$F$35)</f>
        <v>564.69000000000005</v>
      </c>
      <c r="C3" t="s">
        <v>4</v>
      </c>
      <c r="D3" t="s">
        <v>247</v>
      </c>
    </row>
    <row r="4" spans="1:5" x14ac:dyDescent="0.3">
      <c r="A4" t="s">
        <v>33</v>
      </c>
      <c r="B4">
        <v>187</v>
      </c>
      <c r="C4" t="s">
        <v>34</v>
      </c>
      <c r="D4" t="s">
        <v>313</v>
      </c>
      <c r="E4" t="s">
        <v>177</v>
      </c>
    </row>
    <row r="5" spans="1:5" x14ac:dyDescent="0.3">
      <c r="A5" t="s">
        <v>170</v>
      </c>
      <c r="B5" s="7">
        <f xml:space="preserve"> B3/B4</f>
        <v>3.0197326203208559</v>
      </c>
      <c r="C5" t="s">
        <v>171</v>
      </c>
      <c r="D5" t="s">
        <v>10</v>
      </c>
    </row>
    <row r="7" spans="1:5" x14ac:dyDescent="0.3">
      <c r="A7" s="2" t="s">
        <v>173</v>
      </c>
    </row>
    <row r="8" spans="1:5" x14ac:dyDescent="0.3">
      <c r="A8" t="s">
        <v>130</v>
      </c>
      <c r="B8">
        <v>38000</v>
      </c>
      <c r="C8" t="s">
        <v>5</v>
      </c>
      <c r="D8" t="s">
        <v>314</v>
      </c>
    </row>
    <row r="9" spans="1:5" x14ac:dyDescent="0.3">
      <c r="A9" t="s">
        <v>154</v>
      </c>
      <c r="B9" s="4">
        <f>Sources!F75</f>
        <v>0.21381086999999999</v>
      </c>
      <c r="C9" t="s">
        <v>128</v>
      </c>
      <c r="D9" t="s">
        <v>168</v>
      </c>
      <c r="E9" t="s">
        <v>178</v>
      </c>
    </row>
    <row r="10" spans="1:5" x14ac:dyDescent="0.3">
      <c r="A10" s="8" t="s">
        <v>153</v>
      </c>
      <c r="B10" s="9">
        <f xml:space="preserve"> $B$8*$B$9</f>
        <v>8124.8130599999995</v>
      </c>
      <c r="C10" s="8" t="s">
        <v>5</v>
      </c>
      <c r="D10" s="8" t="s">
        <v>10</v>
      </c>
      <c r="E10" s="1"/>
    </row>
    <row r="11" spans="1:5" x14ac:dyDescent="0.3">
      <c r="A11" s="8" t="s">
        <v>172</v>
      </c>
      <c r="B11" s="9">
        <f xml:space="preserve"> B8-B10</f>
        <v>29875.18694</v>
      </c>
      <c r="C11" s="8" t="s">
        <v>5</v>
      </c>
      <c r="D11" s="8" t="s">
        <v>10</v>
      </c>
      <c r="E11" s="1"/>
    </row>
    <row r="13" spans="1:5" x14ac:dyDescent="0.3">
      <c r="A13" s="2" t="s">
        <v>230</v>
      </c>
    </row>
    <row r="14" spans="1:5" x14ac:dyDescent="0.3">
      <c r="A14" t="s">
        <v>152</v>
      </c>
      <c r="B14">
        <v>2090000</v>
      </c>
      <c r="C14" t="s">
        <v>129</v>
      </c>
      <c r="D14" t="s">
        <v>314</v>
      </c>
      <c r="E14" t="s">
        <v>150</v>
      </c>
    </row>
    <row r="15" spans="1:5" x14ac:dyDescent="0.3">
      <c r="A15" t="s">
        <v>169</v>
      </c>
      <c r="B15">
        <v>9</v>
      </c>
      <c r="C15" t="s">
        <v>54</v>
      </c>
      <c r="D15" t="s">
        <v>315</v>
      </c>
    </row>
    <row r="16" spans="1:5" x14ac:dyDescent="0.3">
      <c r="A16" t="s">
        <v>308</v>
      </c>
      <c r="B16">
        <f>Sources!A112</f>
        <v>159000</v>
      </c>
      <c r="C16" t="s">
        <v>129</v>
      </c>
      <c r="D16" t="s">
        <v>316</v>
      </c>
      <c r="E16" t="s">
        <v>338</v>
      </c>
    </row>
    <row r="17" spans="1:5" x14ac:dyDescent="0.3">
      <c r="A17" t="s">
        <v>155</v>
      </c>
      <c r="B17" s="3">
        <v>1</v>
      </c>
      <c r="C17" t="s">
        <v>128</v>
      </c>
      <c r="D17" t="s">
        <v>9</v>
      </c>
      <c r="E17" t="s">
        <v>339</v>
      </c>
    </row>
    <row r="18" spans="1:5" x14ac:dyDescent="0.3">
      <c r="A18" t="s">
        <v>156</v>
      </c>
      <c r="B18" s="3">
        <v>0</v>
      </c>
      <c r="C18" t="s">
        <v>128</v>
      </c>
      <c r="D18" t="s">
        <v>9</v>
      </c>
    </row>
    <row r="19" spans="1:5" x14ac:dyDescent="0.3">
      <c r="A19" t="s">
        <v>157</v>
      </c>
      <c r="B19" s="3">
        <v>0</v>
      </c>
      <c r="C19" t="s">
        <v>128</v>
      </c>
      <c r="D19" t="s">
        <v>9</v>
      </c>
    </row>
    <row r="20" spans="1:5" x14ac:dyDescent="0.3">
      <c r="A20" t="s">
        <v>183</v>
      </c>
      <c r="B20">
        <f xml:space="preserve"> $B$16*B17</f>
        <v>159000</v>
      </c>
      <c r="C20" t="s">
        <v>129</v>
      </c>
      <c r="D20" t="s">
        <v>10</v>
      </c>
    </row>
    <row r="21" spans="1:5" x14ac:dyDescent="0.3">
      <c r="A21" t="s">
        <v>184</v>
      </c>
      <c r="B21">
        <f t="shared" ref="B21:B22" si="0" xml:space="preserve"> $B$16*B18</f>
        <v>0</v>
      </c>
      <c r="C21" t="s">
        <v>129</v>
      </c>
      <c r="D21" t="s">
        <v>10</v>
      </c>
    </row>
    <row r="22" spans="1:5" x14ac:dyDescent="0.3">
      <c r="A22" t="s">
        <v>185</v>
      </c>
      <c r="B22">
        <f t="shared" si="0"/>
        <v>0</v>
      </c>
      <c r="C22" t="s">
        <v>129</v>
      </c>
      <c r="D22" t="s">
        <v>10</v>
      </c>
    </row>
    <row r="24" spans="1:5" s="2" customFormat="1" x14ac:dyDescent="0.3">
      <c r="A24" s="2" t="s">
        <v>236</v>
      </c>
    </row>
    <row r="25" spans="1:5" x14ac:dyDescent="0.3">
      <c r="A25" s="8" t="s">
        <v>233</v>
      </c>
      <c r="B25" s="13">
        <f xml:space="preserve"> (B20/B10) + (B21/B8) + (B22/B8)</f>
        <v>19.569681028451875</v>
      </c>
      <c r="C25" s="8" t="s">
        <v>151</v>
      </c>
      <c r="D25" t="s">
        <v>10</v>
      </c>
      <c r="E25" s="8" t="s">
        <v>186</v>
      </c>
    </row>
    <row r="26" spans="1:5" x14ac:dyDescent="0.3">
      <c r="A26" s="8" t="s">
        <v>232</v>
      </c>
      <c r="B26" s="13">
        <f xml:space="preserve"> (B21/B8) + (B22/B8)</f>
        <v>0</v>
      </c>
      <c r="C26" s="8" t="s">
        <v>151</v>
      </c>
      <c r="D26" t="s">
        <v>10</v>
      </c>
      <c r="E26" s="8" t="s">
        <v>187</v>
      </c>
    </row>
    <row r="27" spans="1:5" x14ac:dyDescent="0.3">
      <c r="A27" s="1"/>
      <c r="B27" s="1"/>
      <c r="C27" s="1"/>
      <c r="D27" s="1"/>
      <c r="E27" s="1"/>
    </row>
    <row r="28" spans="1:5" x14ac:dyDescent="0.3">
      <c r="A28" t="s">
        <v>188</v>
      </c>
      <c r="B28" s="14">
        <v>1.0000000000000001E-5</v>
      </c>
      <c r="C28" t="s">
        <v>128</v>
      </c>
      <c r="D28" t="s">
        <v>189</v>
      </c>
      <c r="E28" t="s">
        <v>190</v>
      </c>
    </row>
    <row r="29" spans="1:5" x14ac:dyDescent="0.3">
      <c r="A29" t="s">
        <v>229</v>
      </c>
      <c r="B29" s="4">
        <f xml:space="preserve"> B28*10</f>
        <v>1E-4</v>
      </c>
      <c r="C29" t="s">
        <v>128</v>
      </c>
      <c r="D29" t="s">
        <v>9</v>
      </c>
      <c r="E29" t="s">
        <v>48</v>
      </c>
    </row>
    <row r="30" spans="1:5" x14ac:dyDescent="0.3">
      <c r="A30" t="s">
        <v>228</v>
      </c>
      <c r="B30" s="3">
        <v>1</v>
      </c>
      <c r="C30" t="s">
        <v>128</v>
      </c>
      <c r="D30" t="s">
        <v>9</v>
      </c>
    </row>
    <row r="32" spans="1:5" x14ac:dyDescent="0.3">
      <c r="A32" t="s">
        <v>234</v>
      </c>
      <c r="B32" s="6">
        <f xml:space="preserve"> B28*(B20/B10) + B29*(B21/B8) + B30*(B22/B8)</f>
        <v>1.9569681028451877E-4</v>
      </c>
      <c r="C32" s="8" t="s">
        <v>151</v>
      </c>
      <c r="D32" t="s">
        <v>10</v>
      </c>
    </row>
    <row r="33" spans="1:5" x14ac:dyDescent="0.3">
      <c r="A33" t="s">
        <v>235</v>
      </c>
      <c r="B33" s="6">
        <f xml:space="preserve"> B29*(B21/B8) + B30*(B22/B8)</f>
        <v>0</v>
      </c>
      <c r="C33" s="8" t="s">
        <v>151</v>
      </c>
      <c r="D33" t="s">
        <v>10</v>
      </c>
    </row>
    <row r="35" spans="1:5" x14ac:dyDescent="0.3">
      <c r="A35" s="2" t="s">
        <v>50</v>
      </c>
    </row>
    <row r="36" spans="1:5" x14ac:dyDescent="0.3">
      <c r="A36" t="s">
        <v>6</v>
      </c>
      <c r="B36" s="5">
        <f xml:space="preserve"> MIN(Sources!$B$58:$C$58)</f>
        <v>9.1199999999999992</v>
      </c>
      <c r="C36" t="s">
        <v>231</v>
      </c>
      <c r="D36" t="s">
        <v>246</v>
      </c>
      <c r="E36" t="s">
        <v>309</v>
      </c>
    </row>
    <row r="37" spans="1:5" x14ac:dyDescent="0.3">
      <c r="A37" t="s">
        <v>7</v>
      </c>
      <c r="B37" s="5">
        <f xml:space="preserve"> MIN(Sources!$D$58:$E$58)</f>
        <v>1.14E-3</v>
      </c>
      <c r="C37" t="s">
        <v>231</v>
      </c>
      <c r="D37" t="s">
        <v>246</v>
      </c>
      <c r="E37" t="s">
        <v>309</v>
      </c>
    </row>
    <row r="38" spans="1:5" x14ac:dyDescent="0.3">
      <c r="A38" t="s">
        <v>8</v>
      </c>
      <c r="B38" s="5">
        <f xml:space="preserve"> MIN(Sources!$F$58:$G$58)</f>
        <v>75.239999999999995</v>
      </c>
      <c r="C38" t="s">
        <v>231</v>
      </c>
      <c r="D38" t="s">
        <v>246</v>
      </c>
      <c r="E38" t="s">
        <v>309</v>
      </c>
    </row>
    <row r="40" spans="1:5" x14ac:dyDescent="0.3">
      <c r="A40" s="2" t="s">
        <v>237</v>
      </c>
    </row>
    <row r="41" spans="1:5" x14ac:dyDescent="0.3">
      <c r="A41" t="s">
        <v>238</v>
      </c>
      <c r="B41" s="5">
        <f xml:space="preserve"> $B$32*B36</f>
        <v>1.784754909794811E-3</v>
      </c>
      <c r="C41" t="s">
        <v>244</v>
      </c>
      <c r="D41" t="s">
        <v>10</v>
      </c>
      <c r="E41" t="s">
        <v>291</v>
      </c>
    </row>
    <row r="42" spans="1:5" x14ac:dyDescent="0.3">
      <c r="A42" t="s">
        <v>239</v>
      </c>
      <c r="B42" s="5">
        <f xml:space="preserve"> $B$32*B37</f>
        <v>2.2309436372435139E-7</v>
      </c>
      <c r="C42" t="s">
        <v>244</v>
      </c>
      <c r="D42" t="s">
        <v>10</v>
      </c>
    </row>
    <row r="43" spans="1:5" x14ac:dyDescent="0.3">
      <c r="A43" t="s">
        <v>240</v>
      </c>
      <c r="B43" s="5">
        <f xml:space="preserve"> $B$32*B38</f>
        <v>1.472422800580719E-2</v>
      </c>
      <c r="C43" t="s">
        <v>244</v>
      </c>
      <c r="D43" t="s">
        <v>10</v>
      </c>
    </row>
    <row r="44" spans="1:5" x14ac:dyDescent="0.3">
      <c r="A44" t="s">
        <v>241</v>
      </c>
      <c r="B44" s="5">
        <f xml:space="preserve"> $B$33*B36</f>
        <v>0</v>
      </c>
      <c r="C44" t="s">
        <v>244</v>
      </c>
      <c r="D44" t="s">
        <v>10</v>
      </c>
    </row>
    <row r="45" spans="1:5" x14ac:dyDescent="0.3">
      <c r="A45" t="s">
        <v>242</v>
      </c>
      <c r="B45" s="5">
        <f t="shared" ref="B45:B46" si="1" xml:space="preserve"> $B$33*B37</f>
        <v>0</v>
      </c>
      <c r="C45" t="s">
        <v>244</v>
      </c>
      <c r="D45" t="s">
        <v>10</v>
      </c>
    </row>
    <row r="46" spans="1:5" x14ac:dyDescent="0.3">
      <c r="A46" t="s">
        <v>243</v>
      </c>
      <c r="B46" s="5">
        <f t="shared" si="1"/>
        <v>0</v>
      </c>
      <c r="C46" t="s">
        <v>244</v>
      </c>
      <c r="D46" t="s">
        <v>10</v>
      </c>
    </row>
    <row r="48" spans="1:5" x14ac:dyDescent="0.3">
      <c r="A48" s="2" t="s">
        <v>51</v>
      </c>
    </row>
    <row r="49" spans="1:5" x14ac:dyDescent="0.3">
      <c r="A49" t="s">
        <v>11</v>
      </c>
      <c r="B49" s="5">
        <f>Sources!B61</f>
        <v>1E-3</v>
      </c>
      <c r="C49" t="s">
        <v>12</v>
      </c>
      <c r="D49" t="s">
        <v>13</v>
      </c>
      <c r="E49" t="s">
        <v>14</v>
      </c>
    </row>
    <row r="50" spans="1:5" x14ac:dyDescent="0.3">
      <c r="A50" t="s">
        <v>15</v>
      </c>
      <c r="B50" s="5">
        <f>Sources!D61</f>
        <v>0.27</v>
      </c>
      <c r="C50" t="s">
        <v>12</v>
      </c>
      <c r="D50" t="s">
        <v>13</v>
      </c>
    </row>
    <row r="51" spans="1:5" x14ac:dyDescent="0.3">
      <c r="A51" t="s">
        <v>16</v>
      </c>
      <c r="B51" s="5">
        <f>Sources!F61</f>
        <v>1.7999999999999999E-2</v>
      </c>
      <c r="C51" t="s">
        <v>12</v>
      </c>
      <c r="D51" t="s">
        <v>13</v>
      </c>
    </row>
    <row r="53" spans="1:5" x14ac:dyDescent="0.3">
      <c r="A53" t="s">
        <v>249</v>
      </c>
      <c r="B53">
        <f>Sources!B64</f>
        <v>0.25</v>
      </c>
      <c r="C53" t="s">
        <v>248</v>
      </c>
      <c r="D53" t="s">
        <v>13</v>
      </c>
      <c r="E53" t="s">
        <v>22</v>
      </c>
    </row>
    <row r="54" spans="1:5" x14ac:dyDescent="0.3">
      <c r="A54" t="s">
        <v>250</v>
      </c>
      <c r="B54">
        <f>Sources!D64</f>
        <v>0.5</v>
      </c>
      <c r="C54" t="s">
        <v>248</v>
      </c>
      <c r="D54" t="s">
        <v>13</v>
      </c>
    </row>
    <row r="55" spans="1:5" x14ac:dyDescent="0.3">
      <c r="A55" t="s">
        <v>251</v>
      </c>
      <c r="B55">
        <f>Sources!F64</f>
        <v>0.3</v>
      </c>
      <c r="C55" t="s">
        <v>248</v>
      </c>
      <c r="D55" t="s">
        <v>13</v>
      </c>
    </row>
    <row r="57" spans="1:5" x14ac:dyDescent="0.3">
      <c r="A57" t="s">
        <v>252</v>
      </c>
    </row>
    <row r="58" spans="1:5" x14ac:dyDescent="0.3">
      <c r="A58" t="s">
        <v>17</v>
      </c>
      <c r="B58" s="5">
        <f>B41*$B$49</f>
        <v>1.7847549097948111E-6</v>
      </c>
      <c r="C58" t="s">
        <v>254</v>
      </c>
      <c r="D58" t="s">
        <v>10</v>
      </c>
      <c r="E58" t="s">
        <v>18</v>
      </c>
    </row>
    <row r="59" spans="1:5" x14ac:dyDescent="0.3">
      <c r="A59" t="s">
        <v>19</v>
      </c>
      <c r="B59" s="5">
        <f>B42*$B$50</f>
        <v>6.023547820557488E-8</v>
      </c>
      <c r="C59" t="s">
        <v>254</v>
      </c>
      <c r="D59" t="s">
        <v>10</v>
      </c>
    </row>
    <row r="60" spans="1:5" x14ac:dyDescent="0.3">
      <c r="A60" t="s">
        <v>20</v>
      </c>
      <c r="B60" s="5">
        <f>B43*$B$51</f>
        <v>2.6503610410452943E-4</v>
      </c>
      <c r="C60" t="s">
        <v>254</v>
      </c>
      <c r="D60" t="s">
        <v>10</v>
      </c>
    </row>
    <row r="62" spans="1:5" x14ac:dyDescent="0.3">
      <c r="A62" t="s">
        <v>17</v>
      </c>
      <c r="B62">
        <f>1-((1-B58)^365)</f>
        <v>6.5122398494488198E-4</v>
      </c>
      <c r="C62" t="s">
        <v>255</v>
      </c>
      <c r="D62" t="s">
        <v>10</v>
      </c>
      <c r="E62" t="s">
        <v>21</v>
      </c>
    </row>
    <row r="63" spans="1:5" x14ac:dyDescent="0.3">
      <c r="A63" t="s">
        <v>19</v>
      </c>
      <c r="B63">
        <f>1-((1-B59)^365)</f>
        <v>2.1985708491323308E-5</v>
      </c>
      <c r="C63" t="s">
        <v>255</v>
      </c>
      <c r="D63" t="s">
        <v>10</v>
      </c>
    </row>
    <row r="64" spans="1:5" x14ac:dyDescent="0.3">
      <c r="A64" t="s">
        <v>20</v>
      </c>
      <c r="B64">
        <f>1-((1-B60)^365)</f>
        <v>9.2217984119510987E-2</v>
      </c>
      <c r="C64" t="s">
        <v>255</v>
      </c>
      <c r="D64" t="s">
        <v>10</v>
      </c>
    </row>
    <row r="66" spans="1:5" x14ac:dyDescent="0.3">
      <c r="A66" t="s">
        <v>23</v>
      </c>
      <c r="B66">
        <f>B62*$B$53</f>
        <v>1.628059962362205E-4</v>
      </c>
      <c r="C66" t="s">
        <v>255</v>
      </c>
      <c r="D66" t="s">
        <v>10</v>
      </c>
      <c r="E66" t="s">
        <v>24</v>
      </c>
    </row>
    <row r="67" spans="1:5" x14ac:dyDescent="0.3">
      <c r="A67" t="s">
        <v>25</v>
      </c>
      <c r="B67">
        <f>B63*$B$54</f>
        <v>1.0992854245661654E-5</v>
      </c>
      <c r="C67" t="s">
        <v>255</v>
      </c>
      <c r="D67" t="s">
        <v>10</v>
      </c>
    </row>
    <row r="68" spans="1:5" x14ac:dyDescent="0.3">
      <c r="A68" t="s">
        <v>26</v>
      </c>
      <c r="B68">
        <f>B64*$B$55</f>
        <v>2.7665395235853294E-2</v>
      </c>
      <c r="C68" t="s">
        <v>255</v>
      </c>
      <c r="D68" t="s">
        <v>10</v>
      </c>
    </row>
    <row r="70" spans="1:5" x14ac:dyDescent="0.3">
      <c r="A70" s="2" t="s">
        <v>253</v>
      </c>
    </row>
    <row r="71" spans="1:5" x14ac:dyDescent="0.3">
      <c r="A71" t="s">
        <v>17</v>
      </c>
      <c r="B71" s="5">
        <f>B44*$B$49</f>
        <v>0</v>
      </c>
      <c r="C71" t="s">
        <v>254</v>
      </c>
      <c r="D71" t="s">
        <v>10</v>
      </c>
      <c r="E71" t="s">
        <v>18</v>
      </c>
    </row>
    <row r="72" spans="1:5" x14ac:dyDescent="0.3">
      <c r="A72" t="s">
        <v>19</v>
      </c>
      <c r="B72" s="5">
        <f>B45*$B$50</f>
        <v>0</v>
      </c>
      <c r="C72" t="s">
        <v>254</v>
      </c>
      <c r="D72" t="s">
        <v>10</v>
      </c>
    </row>
    <row r="73" spans="1:5" x14ac:dyDescent="0.3">
      <c r="A73" t="s">
        <v>20</v>
      </c>
      <c r="B73" s="5">
        <f>B46*$B$51</f>
        <v>0</v>
      </c>
      <c r="C73" t="s">
        <v>254</v>
      </c>
      <c r="D73" t="s">
        <v>10</v>
      </c>
    </row>
    <row r="75" spans="1:5" x14ac:dyDescent="0.3">
      <c r="A75" t="s">
        <v>17</v>
      </c>
      <c r="B75">
        <f>1-((1-B71)^365)</f>
        <v>0</v>
      </c>
      <c r="C75" t="s">
        <v>255</v>
      </c>
      <c r="D75" t="s">
        <v>10</v>
      </c>
      <c r="E75" t="s">
        <v>21</v>
      </c>
    </row>
    <row r="76" spans="1:5" x14ac:dyDescent="0.3">
      <c r="A76" t="s">
        <v>19</v>
      </c>
      <c r="B76">
        <f>1-((1-B72)^365)</f>
        <v>0</v>
      </c>
      <c r="C76" t="s">
        <v>255</v>
      </c>
      <c r="D76" t="s">
        <v>10</v>
      </c>
    </row>
    <row r="77" spans="1:5" x14ac:dyDescent="0.3">
      <c r="A77" t="s">
        <v>20</v>
      </c>
      <c r="B77">
        <f>1-((1-B73)^365)</f>
        <v>0</v>
      </c>
      <c r="C77" t="s">
        <v>255</v>
      </c>
      <c r="D77" t="s">
        <v>10</v>
      </c>
    </row>
    <row r="79" spans="1:5" x14ac:dyDescent="0.3">
      <c r="A79" t="s">
        <v>23</v>
      </c>
      <c r="B79">
        <f>B75*$B$53</f>
        <v>0</v>
      </c>
      <c r="C79" t="s">
        <v>255</v>
      </c>
      <c r="D79" t="s">
        <v>10</v>
      </c>
      <c r="E79" t="s">
        <v>24</v>
      </c>
    </row>
    <row r="80" spans="1:5" x14ac:dyDescent="0.3">
      <c r="A80" t="s">
        <v>25</v>
      </c>
      <c r="B80">
        <f>B76*$B$54</f>
        <v>0</v>
      </c>
      <c r="C80" t="s">
        <v>255</v>
      </c>
      <c r="D80" t="s">
        <v>10</v>
      </c>
    </row>
    <row r="81" spans="1:5" x14ac:dyDescent="0.3">
      <c r="A81" t="s">
        <v>26</v>
      </c>
      <c r="B81">
        <f>B77*$B$55</f>
        <v>0</v>
      </c>
      <c r="C81" t="s">
        <v>255</v>
      </c>
      <c r="D81" t="s">
        <v>10</v>
      </c>
    </row>
    <row r="83" spans="1:5" x14ac:dyDescent="0.3">
      <c r="A83" s="2" t="s">
        <v>256</v>
      </c>
    </row>
    <row r="84" spans="1:5" x14ac:dyDescent="0.3">
      <c r="A84" t="s">
        <v>257</v>
      </c>
      <c r="B84">
        <f>ROUND(($B$8/$B$15)*B4,0)</f>
        <v>789556</v>
      </c>
      <c r="C84" t="s">
        <v>5</v>
      </c>
      <c r="D84" t="s">
        <v>189</v>
      </c>
      <c r="E84" t="s">
        <v>35</v>
      </c>
    </row>
    <row r="85" spans="1:5" x14ac:dyDescent="0.3">
      <c r="A85" t="s">
        <v>154</v>
      </c>
      <c r="B85" s="12">
        <f xml:space="preserve"> Sources!F72</f>
        <v>0.22481535999999999</v>
      </c>
      <c r="C85" t="s">
        <v>128</v>
      </c>
      <c r="D85" t="s">
        <v>168</v>
      </c>
      <c r="E85" t="s">
        <v>258</v>
      </c>
    </row>
    <row r="86" spans="1:5" x14ac:dyDescent="0.3">
      <c r="A86" s="8" t="s">
        <v>153</v>
      </c>
      <c r="B86" s="15">
        <f xml:space="preserve"> B84*B85</f>
        <v>177504.31638015999</v>
      </c>
      <c r="C86" t="s">
        <v>5</v>
      </c>
      <c r="D86" t="s">
        <v>10</v>
      </c>
    </row>
    <row r="87" spans="1:5" x14ac:dyDescent="0.3">
      <c r="A87" s="8" t="s">
        <v>172</v>
      </c>
      <c r="B87" s="15">
        <f xml:space="preserve"> B84-B86</f>
        <v>612051.68361984007</v>
      </c>
      <c r="C87" t="s">
        <v>5</v>
      </c>
      <c r="D87" t="s">
        <v>10</v>
      </c>
    </row>
    <row r="89" spans="1:5" x14ac:dyDescent="0.3">
      <c r="A89" s="2" t="s">
        <v>52</v>
      </c>
    </row>
    <row r="90" spans="1:5" x14ac:dyDescent="0.3">
      <c r="A90" t="s">
        <v>27</v>
      </c>
      <c r="B90">
        <f>Sources!G91</f>
        <v>0.45</v>
      </c>
      <c r="C90" t="s">
        <v>28</v>
      </c>
      <c r="D90" t="s">
        <v>29</v>
      </c>
      <c r="E90" t="s">
        <v>30</v>
      </c>
    </row>
    <row r="91" spans="1:5" x14ac:dyDescent="0.3">
      <c r="A91" t="s">
        <v>31</v>
      </c>
      <c r="B91">
        <f>Sources!G99</f>
        <v>0.44</v>
      </c>
      <c r="C91" t="s">
        <v>28</v>
      </c>
      <c r="D91" t="s">
        <v>29</v>
      </c>
      <c r="E91" t="s">
        <v>30</v>
      </c>
    </row>
    <row r="92" spans="1:5" x14ac:dyDescent="0.3">
      <c r="A92" t="s">
        <v>32</v>
      </c>
      <c r="B92" s="5">
        <f>Sources!G95</f>
        <v>6.5199999999999994E-2</v>
      </c>
      <c r="C92" t="s">
        <v>28</v>
      </c>
      <c r="D92" t="s">
        <v>29</v>
      </c>
      <c r="E92" t="s">
        <v>30</v>
      </c>
    </row>
    <row r="94" spans="1:5" x14ac:dyDescent="0.3">
      <c r="A94" t="s">
        <v>252</v>
      </c>
    </row>
    <row r="95" spans="1:5" x14ac:dyDescent="0.3">
      <c r="A95" t="s">
        <v>310</v>
      </c>
      <c r="B95" s="7">
        <f>B66*$B$86*B90</f>
        <v>13.004445179025549</v>
      </c>
      <c r="C95" t="s">
        <v>36</v>
      </c>
      <c r="D95" t="s">
        <v>10</v>
      </c>
      <c r="E95" t="s">
        <v>37</v>
      </c>
    </row>
    <row r="96" spans="1:5" x14ac:dyDescent="0.3">
      <c r="A96" t="s">
        <v>311</v>
      </c>
      <c r="B96" s="7">
        <f>B67*$B$86*B91</f>
        <v>0.85856279429488092</v>
      </c>
      <c r="C96" t="s">
        <v>36</v>
      </c>
      <c r="D96" t="s">
        <v>10</v>
      </c>
    </row>
    <row r="97" spans="1:5" x14ac:dyDescent="0.3">
      <c r="A97" t="s">
        <v>312</v>
      </c>
      <c r="B97" s="7">
        <f>B68*$B$86*B92</f>
        <v>320.17940488100521</v>
      </c>
      <c r="C97" t="s">
        <v>36</v>
      </c>
      <c r="D97" t="s">
        <v>10</v>
      </c>
    </row>
    <row r="98" spans="1:5" x14ac:dyDescent="0.3">
      <c r="B98" s="7"/>
    </row>
    <row r="99" spans="1:5" x14ac:dyDescent="0.3">
      <c r="A99" s="2" t="s">
        <v>253</v>
      </c>
      <c r="B99" s="7"/>
    </row>
    <row r="100" spans="1:5" x14ac:dyDescent="0.3">
      <c r="A100" t="s">
        <v>310</v>
      </c>
      <c r="B100" s="7">
        <f>B79*$B$87*B90</f>
        <v>0</v>
      </c>
      <c r="C100" t="s">
        <v>36</v>
      </c>
      <c r="D100" t="s">
        <v>10</v>
      </c>
      <c r="E100" t="s">
        <v>37</v>
      </c>
    </row>
    <row r="101" spans="1:5" x14ac:dyDescent="0.3">
      <c r="A101" t="s">
        <v>311</v>
      </c>
      <c r="B101" s="7">
        <f t="shared" ref="B101:B102" si="2">B80*$B$87*B91</f>
        <v>0</v>
      </c>
      <c r="C101" t="s">
        <v>36</v>
      </c>
      <c r="D101" t="s">
        <v>10</v>
      </c>
    </row>
    <row r="102" spans="1:5" x14ac:dyDescent="0.3">
      <c r="A102" t="s">
        <v>312</v>
      </c>
      <c r="B102" s="7">
        <f t="shared" si="2"/>
        <v>0</v>
      </c>
      <c r="C102" t="s">
        <v>36</v>
      </c>
      <c r="D102" t="s">
        <v>10</v>
      </c>
    </row>
    <row r="103" spans="1:5" x14ac:dyDescent="0.3">
      <c r="B103" s="7"/>
    </row>
    <row r="104" spans="1:5" x14ac:dyDescent="0.3">
      <c r="A104" s="16" t="s">
        <v>259</v>
      </c>
      <c r="B104" s="19">
        <f>SUM(B95:B97,B100:B102)</f>
        <v>334.04241285432562</v>
      </c>
      <c r="C104" s="16" t="s">
        <v>36</v>
      </c>
      <c r="D104" s="1" t="s">
        <v>10</v>
      </c>
      <c r="E104" s="1" t="s">
        <v>38</v>
      </c>
    </row>
    <row r="106" spans="1:5" s="2" customFormat="1" x14ac:dyDescent="0.3">
      <c r="A106" s="2" t="s">
        <v>53</v>
      </c>
    </row>
    <row r="107" spans="1:5" x14ac:dyDescent="0.3">
      <c r="A107" t="s">
        <v>40</v>
      </c>
      <c r="B107">
        <f>Sources!D109</f>
        <v>477003</v>
      </c>
      <c r="C107" t="s">
        <v>41</v>
      </c>
      <c r="D107" t="s">
        <v>39</v>
      </c>
      <c r="E107" t="s">
        <v>42</v>
      </c>
    </row>
    <row r="108" spans="1:5" s="2" customFormat="1" x14ac:dyDescent="0.3">
      <c r="A108" s="17" t="s">
        <v>47</v>
      </c>
      <c r="B108" s="18">
        <f xml:space="preserve"> B104*B107/100000</f>
        <v>1593.3923305875187</v>
      </c>
      <c r="C108" s="17" t="s">
        <v>46</v>
      </c>
      <c r="D108" s="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78C8-4391-47C2-BEDA-981DD8B37D6C}">
  <dimension ref="A1:K65"/>
  <sheetViews>
    <sheetView topLeftCell="A55" workbookViewId="0">
      <selection activeCell="D69" sqref="D69"/>
    </sheetView>
  </sheetViews>
  <sheetFormatPr defaultRowHeight="14.4" x14ac:dyDescent="0.3"/>
  <cols>
    <col min="1" max="1" width="42.77734375" bestFit="1" customWidth="1"/>
    <col min="2" max="2" width="26.88671875" customWidth="1"/>
    <col min="3" max="3" width="14" customWidth="1"/>
    <col min="4" max="4" width="40.6640625" customWidth="1"/>
    <col min="5" max="5" width="29.21875" customWidth="1"/>
    <col min="6" max="6" width="9.88671875" bestFit="1" customWidth="1"/>
    <col min="12" max="12" width="14.88671875" customWidth="1"/>
    <col min="13" max="13" width="14.6640625" customWidth="1"/>
  </cols>
  <sheetData>
    <row r="1" spans="1:3" x14ac:dyDescent="0.3">
      <c r="A1" t="s">
        <v>318</v>
      </c>
      <c r="B1" t="s">
        <v>3</v>
      </c>
      <c r="C1" t="s">
        <v>348</v>
      </c>
    </row>
    <row r="2" spans="1:3" x14ac:dyDescent="0.3">
      <c r="A2" t="s">
        <v>330</v>
      </c>
    </row>
    <row r="3" spans="1:3" x14ac:dyDescent="0.3">
      <c r="A3" t="s">
        <v>325</v>
      </c>
    </row>
    <row r="4" spans="1:3" x14ac:dyDescent="0.3">
      <c r="A4" t="s">
        <v>326</v>
      </c>
    </row>
    <row r="5" spans="1:3" x14ac:dyDescent="0.3">
      <c r="A5" t="s">
        <v>331</v>
      </c>
    </row>
    <row r="6" spans="1:3" s="2" customFormat="1" x14ac:dyDescent="0.3">
      <c r="A6" s="2" t="s">
        <v>328</v>
      </c>
      <c r="B6" s="2" t="s">
        <v>335</v>
      </c>
      <c r="C6" s="2" t="s">
        <v>347</v>
      </c>
    </row>
    <row r="7" spans="1:3" x14ac:dyDescent="0.3">
      <c r="A7" t="s">
        <v>332</v>
      </c>
    </row>
    <row r="8" spans="1:3" x14ac:dyDescent="0.3">
      <c r="A8" t="s">
        <v>333</v>
      </c>
    </row>
    <row r="9" spans="1:3" x14ac:dyDescent="0.3">
      <c r="A9" t="s">
        <v>334</v>
      </c>
    </row>
    <row r="10" spans="1:3" s="2" customFormat="1" x14ac:dyDescent="0.3">
      <c r="A10" s="2" t="s">
        <v>188</v>
      </c>
      <c r="B10" s="2" t="s">
        <v>336</v>
      </c>
      <c r="C10" s="2" t="s">
        <v>347</v>
      </c>
    </row>
    <row r="11" spans="1:3" x14ac:dyDescent="0.3">
      <c r="A11" t="s">
        <v>229</v>
      </c>
      <c r="B11" t="s">
        <v>336</v>
      </c>
    </row>
    <row r="12" spans="1:3" x14ac:dyDescent="0.3">
      <c r="A12" t="s">
        <v>228</v>
      </c>
      <c r="B12" t="s">
        <v>336</v>
      </c>
    </row>
    <row r="13" spans="1:3" x14ac:dyDescent="0.3">
      <c r="A13" t="s">
        <v>319</v>
      </c>
      <c r="B13" t="s">
        <v>337</v>
      </c>
    </row>
    <row r="14" spans="1:3" x14ac:dyDescent="0.3">
      <c r="A14" t="s">
        <v>320</v>
      </c>
      <c r="B14" t="s">
        <v>337</v>
      </c>
    </row>
    <row r="15" spans="1:3" s="2" customFormat="1" x14ac:dyDescent="0.3">
      <c r="A15" s="2" t="s">
        <v>321</v>
      </c>
      <c r="B15" s="2" t="s">
        <v>337</v>
      </c>
      <c r="C15" s="2" t="s">
        <v>349</v>
      </c>
    </row>
    <row r="16" spans="1:3" x14ac:dyDescent="0.3">
      <c r="A16" t="s">
        <v>322</v>
      </c>
    </row>
    <row r="17" spans="1:6" x14ac:dyDescent="0.3">
      <c r="A17" t="s">
        <v>323</v>
      </c>
    </row>
    <row r="18" spans="1:6" x14ac:dyDescent="0.3">
      <c r="A18" t="s">
        <v>327</v>
      </c>
    </row>
    <row r="19" spans="1:6" x14ac:dyDescent="0.3">
      <c r="A19" t="s">
        <v>324</v>
      </c>
    </row>
    <row r="20" spans="1:6" x14ac:dyDescent="0.3">
      <c r="A20" t="s">
        <v>329</v>
      </c>
    </row>
    <row r="23" spans="1:6" s="2" customFormat="1" x14ac:dyDescent="0.3">
      <c r="A23" s="2" t="s">
        <v>345</v>
      </c>
      <c r="B23" s="2" t="s">
        <v>341</v>
      </c>
      <c r="C23" s="2" t="s">
        <v>342</v>
      </c>
      <c r="D23" s="2" t="s">
        <v>343</v>
      </c>
      <c r="F23" s="2" t="s">
        <v>352</v>
      </c>
    </row>
    <row r="24" spans="1:6" x14ac:dyDescent="0.3">
      <c r="A24" s="15">
        <v>159000</v>
      </c>
      <c r="B24" s="15">
        <v>126.85517764557123</v>
      </c>
      <c r="C24" s="15">
        <v>1593.3923305875187</v>
      </c>
      <c r="D24" s="15">
        <v>1466.5371529419474</v>
      </c>
      <c r="F24" s="26">
        <v>8.3000000000000001E-3</v>
      </c>
    </row>
    <row r="25" spans="1:6" x14ac:dyDescent="0.3">
      <c r="A25">
        <v>0</v>
      </c>
      <c r="B25">
        <v>0</v>
      </c>
      <c r="C25">
        <v>0</v>
      </c>
      <c r="D25">
        <v>0</v>
      </c>
    </row>
    <row r="26" spans="1:6" x14ac:dyDescent="0.3">
      <c r="A26">
        <v>2</v>
      </c>
      <c r="B26">
        <v>1.5969354169401316E-3</v>
      </c>
      <c r="C26">
        <v>2.0984563115432564E-2</v>
      </c>
      <c r="D26">
        <v>1.9387627698492432E-2</v>
      </c>
    </row>
    <row r="27" spans="1:6" x14ac:dyDescent="0.3">
      <c r="A27">
        <v>1000</v>
      </c>
      <c r="B27">
        <v>0.79845993323028863</v>
      </c>
      <c r="C27">
        <v>10.489229615606586</v>
      </c>
      <c r="D27">
        <v>9.6907696823762972</v>
      </c>
    </row>
    <row r="28" spans="1:6" x14ac:dyDescent="0.3">
      <c r="A28">
        <v>5000</v>
      </c>
      <c r="B28">
        <v>3.9922201306468268</v>
      </c>
      <c r="C28">
        <v>52.385068333100946</v>
      </c>
      <c r="D28">
        <v>48.392848202454118</v>
      </c>
    </row>
    <row r="29" spans="1:6" x14ac:dyDescent="0.3">
      <c r="A29">
        <v>10000</v>
      </c>
      <c r="B29">
        <v>7.9842412546461645</v>
      </c>
      <c r="C29">
        <v>104.61771410386513</v>
      </c>
      <c r="D29">
        <v>96.633472849218961</v>
      </c>
    </row>
    <row r="30" spans="1:6" x14ac:dyDescent="0.3">
      <c r="A30">
        <v>50000</v>
      </c>
      <c r="B30">
        <v>39.913245936415478</v>
      </c>
      <c r="C30">
        <v>517.04661801816462</v>
      </c>
      <c r="D30">
        <v>477.13337208174914</v>
      </c>
    </row>
    <row r="31" spans="1:6" x14ac:dyDescent="0.3">
      <c r="A31">
        <v>100000</v>
      </c>
      <c r="B31">
        <v>79.806597342922373</v>
      </c>
      <c r="C31">
        <v>1019.2592036987149</v>
      </c>
      <c r="D31">
        <v>939.45260635579257</v>
      </c>
    </row>
    <row r="32" spans="1:6" x14ac:dyDescent="0.3">
      <c r="A32">
        <v>500000</v>
      </c>
      <c r="B32">
        <v>398.23843870843359</v>
      </c>
      <c r="C32">
        <v>4553.312075739701</v>
      </c>
      <c r="D32">
        <v>4155.073637031267</v>
      </c>
    </row>
    <row r="34" spans="1:10" s="2" customFormat="1" x14ac:dyDescent="0.3">
      <c r="A34" s="2" t="s">
        <v>346</v>
      </c>
      <c r="B34" s="2" t="s">
        <v>341</v>
      </c>
      <c r="C34" s="2" t="s">
        <v>342</v>
      </c>
      <c r="D34" s="2" t="s">
        <v>343</v>
      </c>
      <c r="F34" s="2" t="s">
        <v>352</v>
      </c>
      <c r="J34" s="14"/>
    </row>
    <row r="35" spans="1:10" x14ac:dyDescent="0.3">
      <c r="A35" s="23">
        <v>1.0000000000000001E-5</v>
      </c>
      <c r="B35">
        <v>126.85517764557123</v>
      </c>
      <c r="C35">
        <v>1593.3923305875187</v>
      </c>
      <c r="D35">
        <v>1466.5371529419474</v>
      </c>
      <c r="F35" s="5">
        <v>100000000</v>
      </c>
    </row>
    <row r="36" spans="1:10" x14ac:dyDescent="0.3">
      <c r="A36" s="23">
        <v>5.0000000000000002E-5</v>
      </c>
      <c r="B36" s="4">
        <v>126.96183386420718</v>
      </c>
      <c r="C36">
        <v>6684.767711845092</v>
      </c>
      <c r="D36">
        <v>6557.8058779808844</v>
      </c>
    </row>
    <row r="37" spans="1:10" x14ac:dyDescent="0.3">
      <c r="A37" s="23">
        <v>1E-4</v>
      </c>
      <c r="B37" s="22">
        <v>127.095153733469</v>
      </c>
      <c r="C37" s="22">
        <v>10934.372788352071</v>
      </c>
      <c r="D37" s="22">
        <v>10807.277634618602</v>
      </c>
    </row>
    <row r="38" spans="1:10" x14ac:dyDescent="0.3">
      <c r="A38" s="23">
        <v>5.0000000000000004E-6</v>
      </c>
      <c r="B38">
        <v>126.84184559138838</v>
      </c>
      <c r="C38">
        <v>815.11758446581734</v>
      </c>
      <c r="D38">
        <v>688.27573887442895</v>
      </c>
    </row>
    <row r="39" spans="1:10" x14ac:dyDescent="0.3">
      <c r="A39" s="23">
        <v>1.0000000000000002E-6</v>
      </c>
      <c r="B39">
        <v>126.83117994506685</v>
      </c>
      <c r="C39">
        <v>166.05681775744827</v>
      </c>
      <c r="D39">
        <v>39.225637812381422</v>
      </c>
    </row>
    <row r="40" spans="1:10" x14ac:dyDescent="0.3">
      <c r="A40" s="23">
        <v>7.6294000000000008E-7</v>
      </c>
      <c r="B40">
        <v>126.83054784530083</v>
      </c>
      <c r="C40">
        <v>126.83040991376623</v>
      </c>
      <c r="D40">
        <v>-1.3793153459573659E-4</v>
      </c>
    </row>
    <row r="41" spans="1:10" x14ac:dyDescent="0.3">
      <c r="A41" s="23"/>
    </row>
    <row r="42" spans="1:10" x14ac:dyDescent="0.3">
      <c r="A42" s="2" t="s">
        <v>350</v>
      </c>
      <c r="B42" s="2" t="s">
        <v>341</v>
      </c>
      <c r="C42" s="2" t="s">
        <v>342</v>
      </c>
      <c r="D42" s="2" t="s">
        <v>343</v>
      </c>
      <c r="F42" s="2" t="s">
        <v>352</v>
      </c>
    </row>
    <row r="43" spans="1:10" x14ac:dyDescent="0.3">
      <c r="A43" s="27">
        <v>7.5239999999999997E-4</v>
      </c>
      <c r="B43">
        <v>126.85517764557123</v>
      </c>
      <c r="C43">
        <v>1593.3923305875187</v>
      </c>
      <c r="D43">
        <v>1466.5371529419474</v>
      </c>
      <c r="F43">
        <v>-160084</v>
      </c>
    </row>
    <row r="44" spans="1:10" x14ac:dyDescent="0.3">
      <c r="A44">
        <v>3.7619999999999997E-3</v>
      </c>
      <c r="B44">
        <v>612.13505364011928</v>
      </c>
      <c r="C44">
        <v>1593.3923305875187</v>
      </c>
      <c r="D44">
        <v>981.25727694739942</v>
      </c>
    </row>
    <row r="45" spans="1:10" x14ac:dyDescent="0.3">
      <c r="A45">
        <v>7.5239999999999994E-3</v>
      </c>
      <c r="B45">
        <v>1214.2467057852998</v>
      </c>
      <c r="C45">
        <v>1593.3923305875187</v>
      </c>
      <c r="D45">
        <v>379.14562480221889</v>
      </c>
    </row>
    <row r="46" spans="1:10" x14ac:dyDescent="0.3">
      <c r="A46">
        <v>9.8940599999999997E-3</v>
      </c>
      <c r="B46">
        <v>1591.0335472643692</v>
      </c>
      <c r="C46">
        <v>1593.3923305875187</v>
      </c>
      <c r="D46">
        <v>2.3587833231495097</v>
      </c>
    </row>
    <row r="47" spans="1:10" x14ac:dyDescent="0.3">
      <c r="A47">
        <v>9.9089349479999991E-3</v>
      </c>
      <c r="B47">
        <v>1593.3921523765102</v>
      </c>
      <c r="C47">
        <v>1593.3923305875187</v>
      </c>
      <c r="D47">
        <v>1.7821100846049376E-4</v>
      </c>
    </row>
    <row r="49" spans="1:11" x14ac:dyDescent="0.3">
      <c r="A49" s="2" t="s">
        <v>351</v>
      </c>
      <c r="B49" s="2" t="s">
        <v>341</v>
      </c>
      <c r="C49" s="2" t="s">
        <v>342</v>
      </c>
      <c r="D49" s="2" t="s">
        <v>343</v>
      </c>
      <c r="F49" s="2" t="s">
        <v>352</v>
      </c>
      <c r="I49" s="2"/>
      <c r="J49" s="2"/>
      <c r="K49" s="2"/>
    </row>
    <row r="50" spans="1:11" x14ac:dyDescent="0.3">
      <c r="A50">
        <v>75.239999999999995</v>
      </c>
      <c r="B50">
        <v>126.85517764557123</v>
      </c>
      <c r="C50">
        <v>1593.3923305875187</v>
      </c>
      <c r="D50">
        <v>1466.5371529419474</v>
      </c>
      <c r="F50">
        <v>19.431999999999999</v>
      </c>
      <c r="I50" s="22"/>
      <c r="J50" s="22"/>
      <c r="K50" s="22"/>
    </row>
    <row r="51" spans="1:11" x14ac:dyDescent="0.3">
      <c r="A51">
        <v>150.47999999999999</v>
      </c>
      <c r="B51">
        <v>126.85517764557123</v>
      </c>
      <c r="C51">
        <v>2980.1664619422813</v>
      </c>
      <c r="D51">
        <v>2853.3112842967103</v>
      </c>
    </row>
    <row r="52" spans="1:11" x14ac:dyDescent="0.3">
      <c r="A52">
        <v>37.619999999999997</v>
      </c>
      <c r="B52">
        <v>126.85517764557123</v>
      </c>
      <c r="C52">
        <v>848.17601783727821</v>
      </c>
      <c r="D52">
        <v>721.32084019170702</v>
      </c>
    </row>
    <row r="53" spans="1:11" x14ac:dyDescent="0.3">
      <c r="A53">
        <v>7.524</v>
      </c>
      <c r="B53">
        <v>126.85517764557123</v>
      </c>
      <c r="C53">
        <v>225.56926764259308</v>
      </c>
      <c r="D53">
        <v>98.714089997021844</v>
      </c>
    </row>
    <row r="54" spans="1:11" x14ac:dyDescent="0.3">
      <c r="A54">
        <v>3.762</v>
      </c>
      <c r="B54">
        <v>126.85517764557123</v>
      </c>
      <c r="C54">
        <v>146.04039170670328</v>
      </c>
      <c r="D54">
        <v>19.185214061132044</v>
      </c>
    </row>
    <row r="55" spans="1:11" x14ac:dyDescent="0.3">
      <c r="A55">
        <v>2.8591199999999999</v>
      </c>
      <c r="B55">
        <v>126.85517764557123</v>
      </c>
      <c r="C55">
        <v>126.89630992016725</v>
      </c>
      <c r="D55">
        <v>4.1132274596023422E-2</v>
      </c>
    </row>
    <row r="56" spans="1:11" x14ac:dyDescent="0.3">
      <c r="A56">
        <v>2.8571637599999997</v>
      </c>
      <c r="B56">
        <v>126.85517764557123</v>
      </c>
      <c r="C56">
        <v>126.85480700982875</v>
      </c>
      <c r="D56">
        <v>-3.7063574248463738E-4</v>
      </c>
    </row>
    <row r="61" spans="1:11" x14ac:dyDescent="0.3">
      <c r="A61" s="29" t="s">
        <v>353</v>
      </c>
      <c r="B61" s="29" t="s">
        <v>355</v>
      </c>
      <c r="C61" s="29" t="s">
        <v>356</v>
      </c>
      <c r="D61" s="29" t="s">
        <v>358</v>
      </c>
      <c r="E61" s="29" t="s">
        <v>357</v>
      </c>
      <c r="F61" s="2" t="s">
        <v>360</v>
      </c>
    </row>
    <row r="62" spans="1:11" x14ac:dyDescent="0.3">
      <c r="A62" t="s">
        <v>340</v>
      </c>
      <c r="B62" s="15">
        <f xml:space="preserve"> MIN(A24:A32)</f>
        <v>0</v>
      </c>
      <c r="C62" s="15">
        <f xml:space="preserve"> MAX(A24:A32)</f>
        <v>500000</v>
      </c>
      <c r="D62" t="s">
        <v>359</v>
      </c>
      <c r="E62" s="26">
        <f>F24</f>
        <v>8.3000000000000001E-3</v>
      </c>
      <c r="F62" t="s">
        <v>359</v>
      </c>
    </row>
    <row r="63" spans="1:11" x14ac:dyDescent="0.3">
      <c r="A63" t="s">
        <v>354</v>
      </c>
      <c r="B63" s="24">
        <f xml:space="preserve"> MIN(A35:A40)</f>
        <v>7.6294000000000008E-7</v>
      </c>
      <c r="C63" s="24">
        <f xml:space="preserve"> MAX(A35:A40)</f>
        <v>1E-4</v>
      </c>
      <c r="D63" s="24">
        <f>A40</f>
        <v>7.6294000000000008E-7</v>
      </c>
      <c r="E63" s="5">
        <f>F35</f>
        <v>100000000</v>
      </c>
      <c r="F63" s="28">
        <f xml:space="preserve"> D63/A35</f>
        <v>7.6294000000000001E-2</v>
      </c>
    </row>
    <row r="64" spans="1:11" x14ac:dyDescent="0.3">
      <c r="A64" t="s">
        <v>350</v>
      </c>
      <c r="B64" s="27">
        <f xml:space="preserve"> MIN(A43:A47)</f>
        <v>7.5239999999999997E-4</v>
      </c>
      <c r="C64" s="27">
        <f xml:space="preserve"> MAX(A43:A47)</f>
        <v>9.9089349479999991E-3</v>
      </c>
      <c r="D64">
        <f>A47</f>
        <v>9.9089349479999991E-3</v>
      </c>
      <c r="E64">
        <f>F43</f>
        <v>-160084</v>
      </c>
      <c r="F64" s="22">
        <f xml:space="preserve"> D64/A43</f>
        <v>13.16977</v>
      </c>
    </row>
    <row r="65" spans="1:6" x14ac:dyDescent="0.3">
      <c r="A65" t="s">
        <v>351</v>
      </c>
      <c r="B65">
        <f xml:space="preserve"> MIN(A50:A56)</f>
        <v>2.8571637599999997</v>
      </c>
      <c r="C65">
        <f xml:space="preserve"> MAX(A50:A56)</f>
        <v>150.47999999999999</v>
      </c>
      <c r="D65">
        <f>A56</f>
        <v>2.8571637599999997</v>
      </c>
      <c r="E65">
        <f>F50</f>
        <v>19.431999999999999</v>
      </c>
      <c r="F65" s="25">
        <f xml:space="preserve"> D65/A50</f>
        <v>3.7974000000000001E-2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A254-4B73-4730-8240-1F987D954E09}">
  <dimension ref="A1:K112"/>
  <sheetViews>
    <sheetView topLeftCell="A51" workbookViewId="0">
      <selection activeCell="F58" sqref="F58"/>
    </sheetView>
  </sheetViews>
  <sheetFormatPr defaultRowHeight="14.4" x14ac:dyDescent="0.3"/>
  <cols>
    <col min="1" max="1" width="15.44140625" customWidth="1"/>
    <col min="2" max="2" width="27.33203125" customWidth="1"/>
    <col min="3" max="3" width="34.5546875" customWidth="1"/>
    <col min="4" max="4" width="32.6640625" customWidth="1"/>
    <col min="5" max="5" width="30.44140625" customWidth="1"/>
    <col min="6" max="6" width="32" customWidth="1"/>
    <col min="7" max="7" width="52.33203125" bestFit="1" customWidth="1"/>
    <col min="8" max="8" width="20.109375" customWidth="1"/>
  </cols>
  <sheetData>
    <row r="1" spans="1:11" s="2" customFormat="1" x14ac:dyDescent="0.3">
      <c r="A1" s="2" t="s">
        <v>176</v>
      </c>
    </row>
    <row r="2" spans="1:11" s="2" customFormat="1" x14ac:dyDescent="0.3">
      <c r="A2" s="2" t="s">
        <v>55</v>
      </c>
      <c r="B2" s="2" t="s">
        <v>56</v>
      </c>
      <c r="C2" s="2" t="s">
        <v>123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126</v>
      </c>
    </row>
    <row r="3" spans="1:11" x14ac:dyDescent="0.3">
      <c r="A3">
        <v>1</v>
      </c>
      <c r="B3" t="s">
        <v>61</v>
      </c>
      <c r="C3" t="s">
        <v>124</v>
      </c>
      <c r="D3">
        <v>40</v>
      </c>
      <c r="E3">
        <v>32.68</v>
      </c>
      <c r="F3">
        <v>30.25</v>
      </c>
      <c r="G3" t="s">
        <v>62</v>
      </c>
      <c r="H3">
        <v>2</v>
      </c>
      <c r="J3">
        <v>1</v>
      </c>
      <c r="K3" t="s">
        <v>79</v>
      </c>
    </row>
    <row r="4" spans="1:11" x14ac:dyDescent="0.3">
      <c r="A4">
        <v>2</v>
      </c>
      <c r="B4" t="s">
        <v>61</v>
      </c>
      <c r="C4" t="s">
        <v>124</v>
      </c>
      <c r="D4">
        <v>40</v>
      </c>
      <c r="E4">
        <v>40.51</v>
      </c>
      <c r="F4">
        <v>40.18</v>
      </c>
      <c r="G4" t="s">
        <v>62</v>
      </c>
      <c r="H4">
        <v>2</v>
      </c>
      <c r="J4">
        <v>2</v>
      </c>
      <c r="K4" t="s">
        <v>62</v>
      </c>
    </row>
    <row r="5" spans="1:11" x14ac:dyDescent="0.3">
      <c r="A5">
        <v>3</v>
      </c>
      <c r="B5" t="s">
        <v>63</v>
      </c>
      <c r="C5" t="s">
        <v>124</v>
      </c>
      <c r="D5">
        <v>20</v>
      </c>
      <c r="E5">
        <v>16.57</v>
      </c>
      <c r="F5">
        <v>14.96</v>
      </c>
      <c r="G5" t="s">
        <v>62</v>
      </c>
      <c r="H5">
        <v>2</v>
      </c>
      <c r="J5">
        <v>3</v>
      </c>
      <c r="K5" t="s">
        <v>127</v>
      </c>
    </row>
    <row r="6" spans="1:11" x14ac:dyDescent="0.3">
      <c r="A6">
        <v>4</v>
      </c>
      <c r="B6" t="s">
        <v>64</v>
      </c>
      <c r="C6" t="s">
        <v>124</v>
      </c>
      <c r="D6">
        <v>100</v>
      </c>
      <c r="E6">
        <v>86.54</v>
      </c>
      <c r="F6">
        <v>84.5</v>
      </c>
      <c r="G6" t="s">
        <v>62</v>
      </c>
      <c r="H6">
        <v>2</v>
      </c>
    </row>
    <row r="7" spans="1:11" x14ac:dyDescent="0.3">
      <c r="A7">
        <v>5</v>
      </c>
      <c r="B7" t="s">
        <v>65</v>
      </c>
      <c r="C7" t="s">
        <v>124</v>
      </c>
      <c r="D7">
        <v>218</v>
      </c>
      <c r="E7">
        <v>153.66</v>
      </c>
      <c r="F7">
        <v>146.55000000000001</v>
      </c>
      <c r="G7" t="s">
        <v>66</v>
      </c>
      <c r="H7">
        <v>1</v>
      </c>
    </row>
    <row r="8" spans="1:11" x14ac:dyDescent="0.3">
      <c r="A8">
        <v>6</v>
      </c>
      <c r="B8" t="s">
        <v>65</v>
      </c>
      <c r="C8" t="s">
        <v>124</v>
      </c>
      <c r="D8">
        <v>30</v>
      </c>
      <c r="E8">
        <v>31.41</v>
      </c>
      <c r="F8">
        <v>30.27</v>
      </c>
      <c r="G8" t="s">
        <v>66</v>
      </c>
      <c r="H8">
        <v>1</v>
      </c>
    </row>
    <row r="9" spans="1:11" x14ac:dyDescent="0.3">
      <c r="A9">
        <v>7</v>
      </c>
      <c r="B9" t="s">
        <v>67</v>
      </c>
      <c r="C9" t="s">
        <v>124</v>
      </c>
      <c r="D9">
        <v>90</v>
      </c>
      <c r="E9">
        <v>88.2</v>
      </c>
      <c r="F9">
        <v>77.760000000000005</v>
      </c>
      <c r="G9" t="s">
        <v>66</v>
      </c>
      <c r="H9">
        <v>1</v>
      </c>
    </row>
    <row r="10" spans="1:11" x14ac:dyDescent="0.3">
      <c r="A10">
        <v>8</v>
      </c>
      <c r="B10" t="s">
        <v>68</v>
      </c>
      <c r="C10" t="s">
        <v>124</v>
      </c>
      <c r="D10">
        <v>15</v>
      </c>
      <c r="E10">
        <v>17.18</v>
      </c>
      <c r="F10">
        <v>17.079999999999998</v>
      </c>
      <c r="G10" t="s">
        <v>69</v>
      </c>
      <c r="H10">
        <v>2</v>
      </c>
    </row>
    <row r="11" spans="1:11" x14ac:dyDescent="0.3">
      <c r="A11">
        <v>9</v>
      </c>
      <c r="B11" t="s">
        <v>70</v>
      </c>
      <c r="C11" t="s">
        <v>124</v>
      </c>
      <c r="D11">
        <v>5</v>
      </c>
      <c r="E11">
        <v>4.7699999999999996</v>
      </c>
      <c r="F11">
        <v>4.67</v>
      </c>
      <c r="G11" t="s">
        <v>71</v>
      </c>
      <c r="H11">
        <v>1</v>
      </c>
    </row>
    <row r="12" spans="1:11" x14ac:dyDescent="0.3">
      <c r="A12">
        <v>10</v>
      </c>
      <c r="B12" t="s">
        <v>72</v>
      </c>
      <c r="C12" t="s">
        <v>124</v>
      </c>
      <c r="D12">
        <v>1.5</v>
      </c>
      <c r="E12">
        <v>1.23</v>
      </c>
      <c r="F12">
        <v>1.17</v>
      </c>
      <c r="G12" t="s">
        <v>73</v>
      </c>
      <c r="H12">
        <v>3</v>
      </c>
    </row>
    <row r="13" spans="1:11" x14ac:dyDescent="0.3">
      <c r="A13">
        <v>11</v>
      </c>
      <c r="B13" t="s">
        <v>74</v>
      </c>
      <c r="C13" t="s">
        <v>124</v>
      </c>
      <c r="D13">
        <v>4</v>
      </c>
      <c r="E13">
        <v>2.5</v>
      </c>
      <c r="F13">
        <v>2.0699999999999998</v>
      </c>
      <c r="G13" t="s">
        <v>75</v>
      </c>
      <c r="H13">
        <v>3</v>
      </c>
    </row>
    <row r="14" spans="1:11" x14ac:dyDescent="0.3">
      <c r="A14">
        <v>12</v>
      </c>
      <c r="B14" t="s">
        <v>76</v>
      </c>
      <c r="C14" t="s">
        <v>124</v>
      </c>
      <c r="D14">
        <v>10</v>
      </c>
      <c r="E14">
        <v>9.9700000000000006</v>
      </c>
      <c r="F14">
        <v>1.76</v>
      </c>
      <c r="G14" t="s">
        <v>77</v>
      </c>
      <c r="H14">
        <v>3</v>
      </c>
    </row>
    <row r="15" spans="1:11" x14ac:dyDescent="0.3">
      <c r="A15">
        <v>13</v>
      </c>
      <c r="B15" t="s">
        <v>78</v>
      </c>
      <c r="C15" t="s">
        <v>124</v>
      </c>
      <c r="D15">
        <v>15</v>
      </c>
      <c r="E15">
        <v>13.63</v>
      </c>
      <c r="F15">
        <v>13.29</v>
      </c>
      <c r="G15" t="s">
        <v>79</v>
      </c>
      <c r="H15">
        <v>1</v>
      </c>
    </row>
    <row r="16" spans="1:11" x14ac:dyDescent="0.3">
      <c r="A16">
        <v>14</v>
      </c>
      <c r="B16" t="s">
        <v>80</v>
      </c>
      <c r="C16" t="s">
        <v>124</v>
      </c>
      <c r="D16">
        <v>5</v>
      </c>
      <c r="E16">
        <v>4.88</v>
      </c>
      <c r="F16">
        <v>4.59</v>
      </c>
      <c r="G16" t="s">
        <v>79</v>
      </c>
      <c r="H16">
        <v>1</v>
      </c>
    </row>
    <row r="17" spans="1:8" x14ac:dyDescent="0.3">
      <c r="A17">
        <v>15</v>
      </c>
      <c r="B17" t="s">
        <v>81</v>
      </c>
      <c r="C17" t="s">
        <v>124</v>
      </c>
      <c r="D17">
        <v>100</v>
      </c>
      <c r="E17">
        <v>80.03</v>
      </c>
      <c r="F17">
        <v>0.318</v>
      </c>
      <c r="G17" t="s">
        <v>75</v>
      </c>
      <c r="H17">
        <v>3</v>
      </c>
    </row>
    <row r="18" spans="1:8" x14ac:dyDescent="0.3">
      <c r="A18">
        <v>16</v>
      </c>
      <c r="B18" t="s">
        <v>82</v>
      </c>
      <c r="C18" t="s">
        <v>124</v>
      </c>
      <c r="D18">
        <v>6</v>
      </c>
      <c r="E18">
        <v>5.22</v>
      </c>
      <c r="F18">
        <v>5.2</v>
      </c>
      <c r="G18" t="s">
        <v>83</v>
      </c>
      <c r="H18">
        <v>3</v>
      </c>
    </row>
    <row r="19" spans="1:8" x14ac:dyDescent="0.3">
      <c r="A19">
        <v>17</v>
      </c>
      <c r="B19" t="s">
        <v>84</v>
      </c>
      <c r="C19" t="s">
        <v>124</v>
      </c>
      <c r="D19">
        <v>2</v>
      </c>
      <c r="E19">
        <v>1.93</v>
      </c>
      <c r="F19">
        <v>1.89</v>
      </c>
      <c r="G19" t="s">
        <v>79</v>
      </c>
      <c r="H19">
        <v>1</v>
      </c>
    </row>
    <row r="20" spans="1:8" x14ac:dyDescent="0.3">
      <c r="A20">
        <v>18</v>
      </c>
      <c r="B20" t="s">
        <v>85</v>
      </c>
      <c r="C20" t="s">
        <v>124</v>
      </c>
      <c r="D20">
        <v>20</v>
      </c>
      <c r="E20">
        <v>16.5</v>
      </c>
      <c r="F20">
        <v>14.96</v>
      </c>
      <c r="G20" t="s">
        <v>86</v>
      </c>
      <c r="H20">
        <v>3</v>
      </c>
    </row>
    <row r="21" spans="1:8" x14ac:dyDescent="0.3">
      <c r="A21">
        <v>19</v>
      </c>
      <c r="B21" t="s">
        <v>85</v>
      </c>
      <c r="C21" t="s">
        <v>124</v>
      </c>
      <c r="D21">
        <v>20</v>
      </c>
      <c r="E21">
        <v>14.57</v>
      </c>
      <c r="F21">
        <v>14.96</v>
      </c>
      <c r="G21" t="s">
        <v>86</v>
      </c>
      <c r="H21">
        <v>3</v>
      </c>
    </row>
    <row r="22" spans="1:8" x14ac:dyDescent="0.3">
      <c r="A22">
        <v>20</v>
      </c>
      <c r="B22" t="s">
        <v>87</v>
      </c>
      <c r="C22" t="s">
        <v>124</v>
      </c>
      <c r="D22">
        <v>50</v>
      </c>
      <c r="E22">
        <v>31.5</v>
      </c>
      <c r="F22">
        <v>29.52</v>
      </c>
      <c r="G22" t="s">
        <v>86</v>
      </c>
      <c r="H22">
        <v>3</v>
      </c>
    </row>
    <row r="23" spans="1:8" x14ac:dyDescent="0.3">
      <c r="A23">
        <v>21</v>
      </c>
      <c r="B23" t="s">
        <v>88</v>
      </c>
      <c r="C23" t="s">
        <v>124</v>
      </c>
      <c r="D23">
        <v>20</v>
      </c>
      <c r="E23">
        <v>14.7</v>
      </c>
      <c r="F23">
        <v>12.89</v>
      </c>
      <c r="G23" t="s">
        <v>79</v>
      </c>
      <c r="H23">
        <v>1</v>
      </c>
    </row>
    <row r="24" spans="1:8" x14ac:dyDescent="0.3">
      <c r="A24">
        <v>22</v>
      </c>
      <c r="B24" t="s">
        <v>89</v>
      </c>
      <c r="C24" t="s">
        <v>124</v>
      </c>
      <c r="D24">
        <v>40</v>
      </c>
      <c r="E24">
        <v>41.95</v>
      </c>
      <c r="F24">
        <v>0.54400000000000004</v>
      </c>
      <c r="G24" t="s">
        <v>90</v>
      </c>
      <c r="H24">
        <v>3</v>
      </c>
    </row>
    <row r="25" spans="1:8" x14ac:dyDescent="0.3">
      <c r="A25">
        <v>23</v>
      </c>
      <c r="B25" t="s">
        <v>91</v>
      </c>
      <c r="C25" t="s">
        <v>124</v>
      </c>
      <c r="D25">
        <v>60</v>
      </c>
      <c r="E25">
        <v>56.3</v>
      </c>
      <c r="F25">
        <v>2.15</v>
      </c>
      <c r="G25" t="s">
        <v>90</v>
      </c>
      <c r="H25">
        <v>3</v>
      </c>
    </row>
    <row r="26" spans="1:8" x14ac:dyDescent="0.3">
      <c r="A26">
        <v>24</v>
      </c>
      <c r="B26" t="s">
        <v>89</v>
      </c>
      <c r="C26" t="s">
        <v>124</v>
      </c>
      <c r="D26">
        <v>35</v>
      </c>
      <c r="E26">
        <v>26.5</v>
      </c>
      <c r="F26">
        <v>0.26</v>
      </c>
      <c r="G26" t="s">
        <v>90</v>
      </c>
      <c r="H26">
        <v>3</v>
      </c>
    </row>
    <row r="27" spans="1:8" x14ac:dyDescent="0.3">
      <c r="A27">
        <v>25</v>
      </c>
      <c r="B27" t="s">
        <v>65</v>
      </c>
      <c r="C27" t="s">
        <v>124</v>
      </c>
      <c r="D27">
        <v>60</v>
      </c>
      <c r="E27">
        <v>59.98</v>
      </c>
      <c r="F27">
        <v>57.98</v>
      </c>
      <c r="G27" t="s">
        <v>92</v>
      </c>
      <c r="H27">
        <v>1</v>
      </c>
    </row>
    <row r="28" spans="1:8" x14ac:dyDescent="0.3">
      <c r="A28">
        <v>26</v>
      </c>
      <c r="B28" t="s">
        <v>93</v>
      </c>
      <c r="C28" t="s">
        <v>124</v>
      </c>
      <c r="D28">
        <v>10</v>
      </c>
      <c r="E28">
        <v>8</v>
      </c>
      <c r="F28">
        <v>9.33</v>
      </c>
      <c r="G28" t="s">
        <v>94</v>
      </c>
      <c r="H28">
        <v>1</v>
      </c>
    </row>
    <row r="29" spans="1:8" x14ac:dyDescent="0.3">
      <c r="A29">
        <v>27</v>
      </c>
      <c r="B29" t="s">
        <v>95</v>
      </c>
      <c r="C29" t="s">
        <v>124</v>
      </c>
      <c r="D29">
        <v>35</v>
      </c>
      <c r="E29">
        <v>14.51</v>
      </c>
      <c r="F29">
        <v>33.92</v>
      </c>
      <c r="G29" t="s">
        <v>96</v>
      </c>
      <c r="H29">
        <v>1</v>
      </c>
    </row>
    <row r="30" spans="1:8" x14ac:dyDescent="0.3">
      <c r="A30">
        <v>28</v>
      </c>
      <c r="B30" t="s">
        <v>65</v>
      </c>
      <c r="C30" t="s">
        <v>124</v>
      </c>
      <c r="D30">
        <v>150</v>
      </c>
      <c r="E30">
        <v>148.19999999999999</v>
      </c>
      <c r="F30">
        <v>146.11000000000001</v>
      </c>
      <c r="G30" t="s">
        <v>66</v>
      </c>
      <c r="H30">
        <v>1</v>
      </c>
    </row>
    <row r="31" spans="1:8" x14ac:dyDescent="0.3">
      <c r="A31">
        <v>29</v>
      </c>
      <c r="B31" t="s">
        <v>97</v>
      </c>
      <c r="C31" t="s">
        <v>124</v>
      </c>
      <c r="D31">
        <v>20</v>
      </c>
      <c r="E31">
        <v>19.809999999999999</v>
      </c>
      <c r="F31">
        <v>19.260000000000002</v>
      </c>
      <c r="G31" t="s">
        <v>98</v>
      </c>
      <c r="H31">
        <v>1</v>
      </c>
    </row>
    <row r="32" spans="1:8" x14ac:dyDescent="0.3">
      <c r="A32">
        <v>30</v>
      </c>
      <c r="B32" t="s">
        <v>99</v>
      </c>
      <c r="C32" t="s">
        <v>124</v>
      </c>
      <c r="D32">
        <v>5</v>
      </c>
      <c r="E32">
        <v>4.24</v>
      </c>
      <c r="F32">
        <v>4.1900000000000004</v>
      </c>
      <c r="G32" t="s">
        <v>100</v>
      </c>
      <c r="H32">
        <v>1</v>
      </c>
    </row>
    <row r="33" spans="1:8" x14ac:dyDescent="0.3">
      <c r="A33">
        <v>31</v>
      </c>
      <c r="B33" t="s">
        <v>101</v>
      </c>
      <c r="C33" t="s">
        <v>124</v>
      </c>
      <c r="D33">
        <v>1</v>
      </c>
      <c r="E33">
        <v>0.5</v>
      </c>
      <c r="F33">
        <v>0.48</v>
      </c>
      <c r="G33" t="s">
        <v>102</v>
      </c>
      <c r="H33">
        <v>3</v>
      </c>
    </row>
    <row r="34" spans="1:8" x14ac:dyDescent="0.3">
      <c r="A34">
        <v>32</v>
      </c>
      <c r="B34" t="s">
        <v>103</v>
      </c>
      <c r="C34" t="s">
        <v>124</v>
      </c>
      <c r="D34">
        <v>4</v>
      </c>
      <c r="E34">
        <v>2.08</v>
      </c>
      <c r="F34">
        <v>1.99</v>
      </c>
      <c r="G34" t="s">
        <v>104</v>
      </c>
      <c r="H34">
        <v>1</v>
      </c>
    </row>
    <row r="35" spans="1:8" x14ac:dyDescent="0.3">
      <c r="A35">
        <v>33</v>
      </c>
      <c r="B35" t="s">
        <v>105</v>
      </c>
      <c r="C35" t="s">
        <v>124</v>
      </c>
      <c r="D35">
        <v>150</v>
      </c>
      <c r="E35">
        <v>142.46</v>
      </c>
      <c r="G35" t="s">
        <v>86</v>
      </c>
      <c r="H35">
        <v>3</v>
      </c>
    </row>
    <row r="36" spans="1:8" x14ac:dyDescent="0.3">
      <c r="A36">
        <v>34</v>
      </c>
      <c r="B36" t="s">
        <v>106</v>
      </c>
      <c r="C36" t="s">
        <v>125</v>
      </c>
      <c r="D36">
        <v>10</v>
      </c>
      <c r="E36">
        <v>10</v>
      </c>
      <c r="F36">
        <v>2</v>
      </c>
      <c r="G36" t="s">
        <v>107</v>
      </c>
    </row>
    <row r="37" spans="1:8" x14ac:dyDescent="0.3">
      <c r="A37">
        <v>35</v>
      </c>
      <c r="B37" t="s">
        <v>108</v>
      </c>
      <c r="C37" t="s">
        <v>125</v>
      </c>
      <c r="D37">
        <v>5</v>
      </c>
      <c r="E37">
        <v>2.4</v>
      </c>
      <c r="F37">
        <v>0.4</v>
      </c>
      <c r="G37" t="s">
        <v>107</v>
      </c>
    </row>
    <row r="38" spans="1:8" x14ac:dyDescent="0.3">
      <c r="A38">
        <v>36</v>
      </c>
      <c r="B38" t="s">
        <v>108</v>
      </c>
      <c r="C38" t="s">
        <v>125</v>
      </c>
      <c r="D38">
        <v>0.3</v>
      </c>
      <c r="E38">
        <v>0.3</v>
      </c>
      <c r="F38">
        <v>0.3</v>
      </c>
      <c r="G38" t="s">
        <v>107</v>
      </c>
    </row>
    <row r="39" spans="1:8" x14ac:dyDescent="0.3">
      <c r="A39">
        <v>37</v>
      </c>
      <c r="B39" t="s">
        <v>109</v>
      </c>
      <c r="C39" t="s">
        <v>125</v>
      </c>
      <c r="D39">
        <v>3.8</v>
      </c>
      <c r="E39">
        <v>1.7</v>
      </c>
      <c r="F39">
        <v>1.5</v>
      </c>
      <c r="G39" t="s">
        <v>107</v>
      </c>
    </row>
    <row r="40" spans="1:8" x14ac:dyDescent="0.3">
      <c r="A40">
        <v>38</v>
      </c>
      <c r="B40" t="s">
        <v>109</v>
      </c>
      <c r="C40" t="s">
        <v>125</v>
      </c>
      <c r="D40">
        <v>0.15</v>
      </c>
      <c r="E40">
        <v>0.06</v>
      </c>
      <c r="F40">
        <v>0.05</v>
      </c>
      <c r="G40" t="s">
        <v>107</v>
      </c>
    </row>
    <row r="41" spans="1:8" x14ac:dyDescent="0.3">
      <c r="A41">
        <v>39</v>
      </c>
      <c r="B41" t="s">
        <v>110</v>
      </c>
      <c r="C41" t="s">
        <v>125</v>
      </c>
      <c r="D41">
        <v>12</v>
      </c>
      <c r="E41">
        <v>6</v>
      </c>
      <c r="F41">
        <v>6</v>
      </c>
      <c r="G41" t="s">
        <v>107</v>
      </c>
    </row>
    <row r="42" spans="1:8" x14ac:dyDescent="0.3">
      <c r="A42">
        <v>40</v>
      </c>
      <c r="B42" t="s">
        <v>111</v>
      </c>
      <c r="C42" t="s">
        <v>125</v>
      </c>
      <c r="D42">
        <v>4.5999999999999996</v>
      </c>
      <c r="E42">
        <v>4.5999999999999996</v>
      </c>
      <c r="F42">
        <v>1</v>
      </c>
      <c r="G42" t="s">
        <v>107</v>
      </c>
    </row>
    <row r="43" spans="1:8" x14ac:dyDescent="0.3">
      <c r="A43">
        <v>41</v>
      </c>
      <c r="B43" t="s">
        <v>112</v>
      </c>
      <c r="C43" t="s">
        <v>125</v>
      </c>
      <c r="D43">
        <v>3</v>
      </c>
      <c r="E43">
        <v>3</v>
      </c>
      <c r="F43">
        <v>0.5</v>
      </c>
      <c r="G43" t="s">
        <v>107</v>
      </c>
    </row>
    <row r="44" spans="1:8" x14ac:dyDescent="0.3">
      <c r="A44">
        <v>42</v>
      </c>
      <c r="B44" t="s">
        <v>113</v>
      </c>
      <c r="C44" t="s">
        <v>125</v>
      </c>
      <c r="D44">
        <v>2.64</v>
      </c>
      <c r="E44">
        <v>0.3</v>
      </c>
      <c r="F44">
        <v>0.15</v>
      </c>
      <c r="G44" t="s">
        <v>107</v>
      </c>
    </row>
    <row r="45" spans="1:8" x14ac:dyDescent="0.3">
      <c r="A45">
        <v>43</v>
      </c>
      <c r="B45" t="s">
        <v>114</v>
      </c>
      <c r="C45" t="s">
        <v>125</v>
      </c>
      <c r="D45">
        <v>5.24</v>
      </c>
      <c r="E45">
        <v>4</v>
      </c>
      <c r="F45">
        <v>4</v>
      </c>
      <c r="G45" t="s">
        <v>115</v>
      </c>
    </row>
    <row r="46" spans="1:8" x14ac:dyDescent="0.3">
      <c r="A46">
        <v>44</v>
      </c>
      <c r="B46" t="s">
        <v>116</v>
      </c>
      <c r="C46" t="s">
        <v>125</v>
      </c>
      <c r="D46">
        <v>6</v>
      </c>
      <c r="E46">
        <v>2.7</v>
      </c>
      <c r="F46">
        <v>2.2999999999999998</v>
      </c>
      <c r="G46" t="s">
        <v>107</v>
      </c>
    </row>
    <row r="47" spans="1:8" x14ac:dyDescent="0.3">
      <c r="A47">
        <v>45</v>
      </c>
      <c r="B47" t="s">
        <v>117</v>
      </c>
      <c r="C47" t="s">
        <v>125</v>
      </c>
      <c r="D47">
        <v>43.5</v>
      </c>
      <c r="E47">
        <v>27</v>
      </c>
      <c r="F47">
        <v>27</v>
      </c>
      <c r="G47" t="s">
        <v>83</v>
      </c>
    </row>
    <row r="48" spans="1:8" x14ac:dyDescent="0.3">
      <c r="A48">
        <v>46</v>
      </c>
      <c r="B48" t="s">
        <v>118</v>
      </c>
      <c r="C48" t="s">
        <v>125</v>
      </c>
      <c r="D48">
        <v>30</v>
      </c>
      <c r="E48">
        <v>23</v>
      </c>
      <c r="F48">
        <v>3</v>
      </c>
      <c r="G48" t="s">
        <v>83</v>
      </c>
    </row>
    <row r="49" spans="1:7" x14ac:dyDescent="0.3">
      <c r="A49">
        <v>47</v>
      </c>
      <c r="B49" t="s">
        <v>119</v>
      </c>
      <c r="C49" t="s">
        <v>125</v>
      </c>
      <c r="D49">
        <v>9</v>
      </c>
      <c r="E49">
        <v>6</v>
      </c>
      <c r="F49">
        <v>4</v>
      </c>
      <c r="G49" t="s">
        <v>107</v>
      </c>
    </row>
    <row r="50" spans="1:7" x14ac:dyDescent="0.3">
      <c r="A50">
        <v>48</v>
      </c>
      <c r="B50" t="s">
        <v>120</v>
      </c>
      <c r="C50" t="s">
        <v>125</v>
      </c>
      <c r="D50">
        <v>20</v>
      </c>
      <c r="E50">
        <v>12</v>
      </c>
      <c r="F50">
        <v>6</v>
      </c>
      <c r="G50" t="s">
        <v>107</v>
      </c>
    </row>
    <row r="51" spans="1:7" x14ac:dyDescent="0.3">
      <c r="A51">
        <v>49</v>
      </c>
      <c r="B51" t="s">
        <v>121</v>
      </c>
      <c r="C51" t="s">
        <v>125</v>
      </c>
      <c r="D51">
        <v>0.25</v>
      </c>
      <c r="E51">
        <v>0.2</v>
      </c>
      <c r="F51">
        <v>0.2</v>
      </c>
      <c r="G51" t="s">
        <v>107</v>
      </c>
    </row>
    <row r="52" spans="1:7" x14ac:dyDescent="0.3">
      <c r="A52">
        <v>50</v>
      </c>
      <c r="B52" t="s">
        <v>121</v>
      </c>
      <c r="C52" t="s">
        <v>125</v>
      </c>
      <c r="D52">
        <v>0.25</v>
      </c>
      <c r="E52">
        <v>0.2</v>
      </c>
      <c r="F52">
        <v>0.2</v>
      </c>
      <c r="G52" t="s">
        <v>107</v>
      </c>
    </row>
    <row r="53" spans="1:7" x14ac:dyDescent="0.3">
      <c r="B53" t="s">
        <v>122</v>
      </c>
      <c r="D53">
        <f xml:space="preserve"> SUM(D3:D52)</f>
        <v>1537.23</v>
      </c>
      <c r="E53">
        <f xml:space="preserve"> SUM(E3:E52)</f>
        <v>1296.17</v>
      </c>
      <c r="F53">
        <f xml:space="preserve"> SUM(F3:F52)</f>
        <v>883.65199999999993</v>
      </c>
    </row>
    <row r="56" spans="1:7" x14ac:dyDescent="0.3">
      <c r="A56" s="2" t="s">
        <v>149</v>
      </c>
    </row>
    <row r="57" spans="1:7" s="2" customFormat="1" x14ac:dyDescent="0.3">
      <c r="A57" s="2" t="s">
        <v>131</v>
      </c>
      <c r="B57" s="2" t="s">
        <v>132</v>
      </c>
      <c r="C57" s="2" t="s">
        <v>133</v>
      </c>
      <c r="D57" s="2" t="s">
        <v>134</v>
      </c>
      <c r="E57" s="2" t="s">
        <v>135</v>
      </c>
      <c r="F57" s="2" t="s">
        <v>136</v>
      </c>
      <c r="G57" s="2" t="s">
        <v>137</v>
      </c>
    </row>
    <row r="58" spans="1:7" x14ac:dyDescent="0.3">
      <c r="A58" t="s">
        <v>138</v>
      </c>
      <c r="B58">
        <v>9.1199999999999992</v>
      </c>
      <c r="C58">
        <v>18.239999999999998</v>
      </c>
      <c r="D58" s="5">
        <v>1.14E-3</v>
      </c>
      <c r="E58" s="5">
        <v>2.2799999999999999E-3</v>
      </c>
      <c r="F58">
        <v>75.239999999999995</v>
      </c>
      <c r="G58">
        <v>150.47999999999999</v>
      </c>
    </row>
    <row r="59" spans="1:7" x14ac:dyDescent="0.3">
      <c r="A59" t="s">
        <v>139</v>
      </c>
      <c r="B59" s="5">
        <v>9.1199999999999994E-5</v>
      </c>
      <c r="C59" s="5">
        <v>1.8200000000000001E-4</v>
      </c>
      <c r="D59" s="5">
        <v>1.14E-8</v>
      </c>
      <c r="E59" s="5">
        <v>2.2799999999999999E-8</v>
      </c>
      <c r="F59">
        <v>7.5239999999999997E-4</v>
      </c>
      <c r="G59">
        <v>1.5047999999999999E-3</v>
      </c>
    </row>
    <row r="60" spans="1:7" x14ac:dyDescent="0.3">
      <c r="A60" t="s">
        <v>140</v>
      </c>
      <c r="B60" s="5">
        <v>9.3499999999999996E-5</v>
      </c>
      <c r="C60" s="5">
        <v>1.8699999999999999E-4</v>
      </c>
      <c r="D60" s="5">
        <v>1.1700000000000001E-8</v>
      </c>
      <c r="E60" s="5">
        <v>2.3400000000000001E-8</v>
      </c>
      <c r="F60">
        <v>7.7099999999999998E-4</v>
      </c>
      <c r="G60">
        <v>1.542E-3</v>
      </c>
    </row>
    <row r="61" spans="1:7" x14ac:dyDescent="0.3">
      <c r="A61" t="s">
        <v>141</v>
      </c>
      <c r="B61" s="5">
        <v>1E-3</v>
      </c>
      <c r="C61" s="5">
        <v>1E-3</v>
      </c>
      <c r="D61" s="5">
        <v>0.27</v>
      </c>
      <c r="E61" s="5">
        <v>0.27</v>
      </c>
      <c r="F61" s="5">
        <v>1.7999999999999999E-2</v>
      </c>
      <c r="G61" s="5">
        <v>1.7999999999999999E-2</v>
      </c>
    </row>
    <row r="62" spans="1:7" x14ac:dyDescent="0.3">
      <c r="A62" t="s">
        <v>142</v>
      </c>
      <c r="B62" s="5">
        <v>9.3499999999999997E-8</v>
      </c>
      <c r="C62" s="5">
        <v>1.8699999999999999E-7</v>
      </c>
      <c r="D62" s="5">
        <v>3.1500000000000001E-9</v>
      </c>
      <c r="E62" s="5">
        <v>6.3099999999999999E-9</v>
      </c>
      <c r="F62" s="5">
        <v>1.3900000000000001E-5</v>
      </c>
      <c r="G62" s="5">
        <v>2.7800000000000001E-5</v>
      </c>
    </row>
    <row r="63" spans="1:7" x14ac:dyDescent="0.3">
      <c r="A63" t="s">
        <v>143</v>
      </c>
      <c r="B63" s="5">
        <v>3.4100000000000002E-5</v>
      </c>
      <c r="C63" s="5">
        <v>6.8200000000000004E-5</v>
      </c>
      <c r="D63" s="5">
        <v>1.15E-6</v>
      </c>
      <c r="E63" s="5">
        <v>2.3E-6</v>
      </c>
      <c r="F63" s="5">
        <v>5.0699999999999999E-3</v>
      </c>
      <c r="G63" s="5">
        <v>1.01E-2</v>
      </c>
    </row>
    <row r="64" spans="1:7" x14ac:dyDescent="0.3">
      <c r="A64" t="s">
        <v>144</v>
      </c>
      <c r="B64">
        <v>0.25</v>
      </c>
      <c r="C64">
        <v>0.25</v>
      </c>
      <c r="D64">
        <v>0.5</v>
      </c>
      <c r="E64">
        <v>0.5</v>
      </c>
      <c r="F64">
        <v>0.3</v>
      </c>
      <c r="G64">
        <v>0.3</v>
      </c>
    </row>
    <row r="65" spans="1:7" x14ac:dyDescent="0.3">
      <c r="A65" t="s">
        <v>145</v>
      </c>
      <c r="B65" s="5">
        <v>8.5299999999999996E-6</v>
      </c>
      <c r="C65" s="5">
        <v>1.7099999999999999E-5</v>
      </c>
      <c r="D65" s="5">
        <v>5.7599999999999997E-7</v>
      </c>
      <c r="E65" s="5">
        <v>1.15E-6</v>
      </c>
      <c r="F65" s="5">
        <v>4.16E-6</v>
      </c>
      <c r="G65" s="5">
        <v>8.3299999999999999E-6</v>
      </c>
    </row>
    <row r="66" spans="1:7" x14ac:dyDescent="0.3">
      <c r="A66" t="s">
        <v>146</v>
      </c>
      <c r="B66" s="5">
        <v>0.45</v>
      </c>
      <c r="C66" s="5">
        <v>0.45</v>
      </c>
      <c r="D66" s="5">
        <v>0.44</v>
      </c>
      <c r="E66" s="5">
        <v>0.44</v>
      </c>
      <c r="F66" s="5">
        <v>0.65</v>
      </c>
      <c r="G66" s="5">
        <v>0.65</v>
      </c>
    </row>
    <row r="67" spans="1:7" x14ac:dyDescent="0.3">
      <c r="A67" t="s">
        <v>147</v>
      </c>
      <c r="B67">
        <v>0.18</v>
      </c>
      <c r="C67">
        <v>0.48</v>
      </c>
      <c r="D67">
        <v>0.18</v>
      </c>
      <c r="E67">
        <v>0.48</v>
      </c>
      <c r="F67">
        <v>0.18</v>
      </c>
      <c r="G67">
        <v>0.48</v>
      </c>
    </row>
    <row r="68" spans="1:7" x14ac:dyDescent="0.3">
      <c r="A68" t="s">
        <v>148</v>
      </c>
      <c r="B68" s="5">
        <v>6.9100000000000003E-7</v>
      </c>
      <c r="C68" s="5">
        <v>3.5999999999999998E-6</v>
      </c>
      <c r="D68" s="5">
        <v>4.5599999999999998E-8</v>
      </c>
      <c r="E68" s="5">
        <v>2.4299999999999999E-7</v>
      </c>
      <c r="F68" s="5">
        <v>4.8699999999999995E-7</v>
      </c>
      <c r="G68" s="5">
        <v>2.6000000000000001E-6</v>
      </c>
    </row>
    <row r="70" spans="1:7" x14ac:dyDescent="0.3">
      <c r="A70" s="2" t="s">
        <v>168</v>
      </c>
    </row>
    <row r="71" spans="1:7" s="2" customFormat="1" x14ac:dyDescent="0.3">
      <c r="A71" s="2" t="s">
        <v>158</v>
      </c>
      <c r="B71" s="2" t="s">
        <v>159</v>
      </c>
      <c r="C71" s="2" t="s">
        <v>160</v>
      </c>
      <c r="D71" s="2" t="s">
        <v>161</v>
      </c>
      <c r="E71" s="2" t="s">
        <v>162</v>
      </c>
      <c r="F71" s="2" t="s">
        <v>163</v>
      </c>
    </row>
    <row r="72" spans="1:7" x14ac:dyDescent="0.3">
      <c r="A72" t="s">
        <v>164</v>
      </c>
      <c r="B72" s="4">
        <v>0.45619999999999999</v>
      </c>
      <c r="C72" s="4">
        <v>0.2361</v>
      </c>
      <c r="D72" s="4">
        <v>0.25670000000000004</v>
      </c>
      <c r="E72" s="4">
        <f xml:space="preserve"> Table3[[#This Row],[Cultivators % of workers (pg 68)]]+Table3[[#This Row],[Agri. labourers % of workers (pg 71)]]</f>
        <v>0.49280000000000002</v>
      </c>
      <c r="F72" s="4">
        <f>Table3[[#This Row],[Field workers % of workers (sum)]]*Table3[[#This Row],[WPR % (pg 58)]]</f>
        <v>0.22481535999999999</v>
      </c>
    </row>
    <row r="73" spans="1:7" x14ac:dyDescent="0.3">
      <c r="A73" t="s">
        <v>165</v>
      </c>
      <c r="B73" s="4">
        <v>0.4672</v>
      </c>
      <c r="C73" s="4">
        <v>0.255</v>
      </c>
      <c r="D73" s="4">
        <v>0.28029999999999999</v>
      </c>
      <c r="E73" s="4">
        <f xml:space="preserve"> Table3[[#This Row],[Cultivators % of workers (pg 68)]]+Table3[[#This Row],[Agri. labourers % of workers (pg 71)]]</f>
        <v>0.5353</v>
      </c>
      <c r="F73" s="4">
        <f>Table3[[#This Row],[Field workers % of workers (sum)]]*Table3[[#This Row],[WPR % (pg 58)]]</f>
        <v>0.25009216000000001</v>
      </c>
    </row>
    <row r="74" spans="1:7" x14ac:dyDescent="0.3">
      <c r="A74" t="s">
        <v>166</v>
      </c>
      <c r="B74" s="4">
        <v>0.50970000000000004</v>
      </c>
      <c r="C74" s="4">
        <v>0.33169999999999999</v>
      </c>
      <c r="D74" s="4">
        <v>0.32350000000000001</v>
      </c>
      <c r="E74" s="4">
        <f xml:space="preserve"> Table3[[#This Row],[Cultivators % of workers (pg 68)]]+Table3[[#This Row],[Agri. labourers % of workers (pg 71)]]</f>
        <v>0.6552</v>
      </c>
      <c r="F74" s="4">
        <f>Table3[[#This Row],[Field workers % of workers (sum)]]*Table3[[#This Row],[WPR % (pg 58)]]</f>
        <v>0.33395544000000005</v>
      </c>
    </row>
    <row r="75" spans="1:7" x14ac:dyDescent="0.3">
      <c r="A75" t="s">
        <v>167</v>
      </c>
      <c r="B75" s="4">
        <v>0.46409999999999996</v>
      </c>
      <c r="C75" s="4">
        <v>0.27779999999999999</v>
      </c>
      <c r="D75" s="4">
        <v>0.18289999999999998</v>
      </c>
      <c r="E75" s="4">
        <f xml:space="preserve"> Table3[[#This Row],[Cultivators % of workers (pg 68)]]+Table3[[#This Row],[Agri. labourers % of workers (pg 71)]]</f>
        <v>0.4607</v>
      </c>
      <c r="F75" s="4">
        <f>Table3[[#This Row],[Field workers % of workers (sum)]]*Table3[[#This Row],[WPR % (pg 58)]]</f>
        <v>0.21381086999999999</v>
      </c>
    </row>
    <row r="77" spans="1:7" x14ac:dyDescent="0.3">
      <c r="A77" s="2" t="s">
        <v>191</v>
      </c>
      <c r="F77" s="12"/>
    </row>
    <row r="78" spans="1:7" s="2" customFormat="1" x14ac:dyDescent="0.3">
      <c r="A78" s="2" t="s">
        <v>192</v>
      </c>
      <c r="B78" s="2" t="s">
        <v>193</v>
      </c>
      <c r="C78" s="2" t="s">
        <v>194</v>
      </c>
      <c r="D78" s="2" t="s">
        <v>195</v>
      </c>
      <c r="E78" s="2" t="s">
        <v>196</v>
      </c>
      <c r="F78" s="2" t="s">
        <v>197</v>
      </c>
      <c r="G78" s="2" t="s">
        <v>198</v>
      </c>
    </row>
    <row r="79" spans="1:7" x14ac:dyDescent="0.3">
      <c r="A79" t="s">
        <v>199</v>
      </c>
      <c r="B79" t="s">
        <v>200</v>
      </c>
      <c r="C79" t="s">
        <v>201</v>
      </c>
      <c r="D79" t="s">
        <v>202</v>
      </c>
      <c r="E79" t="s">
        <v>203</v>
      </c>
      <c r="F79" t="s">
        <v>204</v>
      </c>
      <c r="G79" t="s">
        <v>205</v>
      </c>
    </row>
    <row r="80" spans="1:7" x14ac:dyDescent="0.3">
      <c r="A80" t="s">
        <v>199</v>
      </c>
      <c r="B80" t="s">
        <v>206</v>
      </c>
      <c r="C80" t="s">
        <v>207</v>
      </c>
      <c r="D80" t="s">
        <v>208</v>
      </c>
      <c r="E80" t="s">
        <v>203</v>
      </c>
      <c r="F80" t="s">
        <v>209</v>
      </c>
      <c r="G80" t="s">
        <v>210</v>
      </c>
    </row>
    <row r="81" spans="1:7" x14ac:dyDescent="0.3">
      <c r="A81" t="s">
        <v>211</v>
      </c>
      <c r="B81" t="s">
        <v>200</v>
      </c>
      <c r="C81" t="s">
        <v>212</v>
      </c>
      <c r="D81" t="s">
        <v>213</v>
      </c>
      <c r="E81" t="s">
        <v>203</v>
      </c>
      <c r="F81" t="s">
        <v>214</v>
      </c>
      <c r="G81" t="s">
        <v>215</v>
      </c>
    </row>
    <row r="82" spans="1:7" x14ac:dyDescent="0.3">
      <c r="A82" t="s">
        <v>211</v>
      </c>
      <c r="B82" t="s">
        <v>206</v>
      </c>
      <c r="C82" t="s">
        <v>216</v>
      </c>
      <c r="D82" t="s">
        <v>217</v>
      </c>
      <c r="E82" t="s">
        <v>203</v>
      </c>
      <c r="F82" t="s">
        <v>218</v>
      </c>
      <c r="G82" t="s">
        <v>215</v>
      </c>
    </row>
    <row r="83" spans="1:7" x14ac:dyDescent="0.3">
      <c r="A83" t="s">
        <v>219</v>
      </c>
      <c r="B83" t="s">
        <v>220</v>
      </c>
      <c r="C83" t="s">
        <v>221</v>
      </c>
      <c r="D83" t="s">
        <v>222</v>
      </c>
      <c r="E83" t="s">
        <v>203</v>
      </c>
      <c r="F83" t="s">
        <v>223</v>
      </c>
      <c r="G83" t="s">
        <v>215</v>
      </c>
    </row>
    <row r="84" spans="1:7" x14ac:dyDescent="0.3">
      <c r="A84" t="s">
        <v>224</v>
      </c>
      <c r="B84" t="s">
        <v>225</v>
      </c>
      <c r="C84" t="s">
        <v>226</v>
      </c>
      <c r="D84" t="s">
        <v>217</v>
      </c>
      <c r="E84" t="s">
        <v>203</v>
      </c>
      <c r="F84" t="s">
        <v>227</v>
      </c>
      <c r="G84" t="s">
        <v>215</v>
      </c>
    </row>
    <row r="86" spans="1:7" x14ac:dyDescent="0.3">
      <c r="A86" s="2" t="s">
        <v>260</v>
      </c>
    </row>
    <row r="87" spans="1:7" s="2" customFormat="1" x14ac:dyDescent="0.3">
      <c r="A87" s="2" t="s">
        <v>261</v>
      </c>
      <c r="B87" s="2" t="s">
        <v>262</v>
      </c>
      <c r="C87" s="2" t="s">
        <v>263</v>
      </c>
      <c r="D87" s="2" t="s">
        <v>264</v>
      </c>
      <c r="E87" s="2" t="s">
        <v>265</v>
      </c>
      <c r="F87" s="2" t="s">
        <v>266</v>
      </c>
      <c r="G87" s="2" t="s">
        <v>267</v>
      </c>
    </row>
    <row r="88" spans="1:7" x14ac:dyDescent="0.3">
      <c r="A88" t="s">
        <v>268</v>
      </c>
      <c r="B88" t="s">
        <v>269</v>
      </c>
      <c r="C88">
        <v>6.7000000000000004E-2</v>
      </c>
      <c r="D88">
        <v>3.4</v>
      </c>
      <c r="E88">
        <v>8.9999999999999993E-3</v>
      </c>
      <c r="F88" t="s">
        <v>270</v>
      </c>
      <c r="G88">
        <v>0.3</v>
      </c>
    </row>
    <row r="89" spans="1:7" x14ac:dyDescent="0.3">
      <c r="A89" t="s">
        <v>268</v>
      </c>
      <c r="B89" t="s">
        <v>271</v>
      </c>
      <c r="C89">
        <v>0.39</v>
      </c>
      <c r="D89">
        <v>5.6</v>
      </c>
      <c r="E89">
        <v>1.4999999999999999E-2</v>
      </c>
      <c r="F89" t="s">
        <v>272</v>
      </c>
      <c r="G89">
        <v>2.8</v>
      </c>
    </row>
    <row r="90" spans="1:7" x14ac:dyDescent="0.3">
      <c r="A90" t="s">
        <v>268</v>
      </c>
      <c r="B90" t="s">
        <v>273</v>
      </c>
      <c r="C90">
        <v>1</v>
      </c>
      <c r="D90" t="s">
        <v>274</v>
      </c>
      <c r="E90" t="s">
        <v>275</v>
      </c>
      <c r="F90" t="s">
        <v>276</v>
      </c>
      <c r="G90">
        <v>448</v>
      </c>
    </row>
    <row r="91" spans="1:7" x14ac:dyDescent="0.3">
      <c r="A91" t="s">
        <v>268</v>
      </c>
      <c r="B91" t="s">
        <v>277</v>
      </c>
      <c r="C91" t="s">
        <v>275</v>
      </c>
      <c r="D91" t="s">
        <v>275</v>
      </c>
      <c r="E91" t="s">
        <v>275</v>
      </c>
      <c r="F91" t="s">
        <v>275</v>
      </c>
      <c r="G91">
        <v>0.45</v>
      </c>
    </row>
    <row r="92" spans="1:7" x14ac:dyDescent="0.3">
      <c r="A92" t="s">
        <v>45</v>
      </c>
      <c r="B92" t="s">
        <v>278</v>
      </c>
      <c r="C92">
        <v>6.7000000000000004E-2</v>
      </c>
      <c r="D92">
        <v>3.48</v>
      </c>
      <c r="E92" t="s">
        <v>279</v>
      </c>
      <c r="F92" t="s">
        <v>280</v>
      </c>
      <c r="G92" s="5">
        <v>5.9999999999999995E-4</v>
      </c>
    </row>
    <row r="93" spans="1:7" x14ac:dyDescent="0.3">
      <c r="A93" t="s">
        <v>45</v>
      </c>
      <c r="B93" t="s">
        <v>281</v>
      </c>
      <c r="C93">
        <v>0.39</v>
      </c>
      <c r="D93">
        <v>9.7200000000000006</v>
      </c>
      <c r="E93">
        <v>2.5999999999999999E-2</v>
      </c>
      <c r="F93" t="s">
        <v>282</v>
      </c>
      <c r="G93" s="5">
        <v>6.2E-4</v>
      </c>
    </row>
    <row r="94" spans="1:7" x14ac:dyDescent="0.3">
      <c r="A94" t="s">
        <v>45</v>
      </c>
      <c r="B94" t="s">
        <v>283</v>
      </c>
      <c r="C94">
        <v>1</v>
      </c>
      <c r="D94" t="s">
        <v>274</v>
      </c>
      <c r="E94" t="s">
        <v>275</v>
      </c>
      <c r="F94" t="s">
        <v>284</v>
      </c>
      <c r="G94" s="5">
        <v>6.4000000000000001E-2</v>
      </c>
    </row>
    <row r="95" spans="1:7" x14ac:dyDescent="0.3">
      <c r="A95" t="s">
        <v>45</v>
      </c>
      <c r="B95" t="s">
        <v>122</v>
      </c>
      <c r="C95" t="s">
        <v>275</v>
      </c>
      <c r="D95" t="s">
        <v>275</v>
      </c>
      <c r="E95" t="s">
        <v>275</v>
      </c>
      <c r="F95" t="s">
        <v>275</v>
      </c>
      <c r="G95" s="5">
        <v>6.5199999999999994E-2</v>
      </c>
    </row>
    <row r="96" spans="1:7" x14ac:dyDescent="0.3">
      <c r="A96" t="s">
        <v>44</v>
      </c>
      <c r="B96" t="s">
        <v>285</v>
      </c>
      <c r="C96">
        <v>0.1</v>
      </c>
      <c r="D96">
        <v>7</v>
      </c>
      <c r="E96">
        <v>0.02</v>
      </c>
      <c r="F96" t="s">
        <v>286</v>
      </c>
      <c r="G96">
        <v>2E-3</v>
      </c>
    </row>
    <row r="97" spans="1:7" x14ac:dyDescent="0.3">
      <c r="A97" t="s">
        <v>44</v>
      </c>
      <c r="B97" t="s">
        <v>287</v>
      </c>
      <c r="C97">
        <v>0.23</v>
      </c>
      <c r="D97">
        <v>7</v>
      </c>
      <c r="E97">
        <v>0.02</v>
      </c>
      <c r="F97" t="s">
        <v>288</v>
      </c>
      <c r="G97" s="5">
        <v>6.9999999999999999E-4</v>
      </c>
    </row>
    <row r="98" spans="1:7" x14ac:dyDescent="0.3">
      <c r="A98" t="s">
        <v>44</v>
      </c>
      <c r="B98" t="s">
        <v>289</v>
      </c>
      <c r="C98">
        <v>1</v>
      </c>
      <c r="D98" t="s">
        <v>274</v>
      </c>
      <c r="E98" t="s">
        <v>275</v>
      </c>
      <c r="F98" t="s">
        <v>290</v>
      </c>
      <c r="G98">
        <v>0.44800000000000001</v>
      </c>
    </row>
    <row r="99" spans="1:7" x14ac:dyDescent="0.3">
      <c r="A99" t="s">
        <v>44</v>
      </c>
      <c r="B99" t="s">
        <v>122</v>
      </c>
      <c r="C99" t="s">
        <v>275</v>
      </c>
      <c r="D99" t="s">
        <v>275</v>
      </c>
      <c r="E99" t="s">
        <v>275</v>
      </c>
      <c r="F99" t="s">
        <v>275</v>
      </c>
      <c r="G99">
        <v>0.44</v>
      </c>
    </row>
    <row r="101" spans="1:7" s="2" customFormat="1" x14ac:dyDescent="0.3">
      <c r="A101" s="2" t="s">
        <v>292</v>
      </c>
      <c r="D101" s="20" t="s">
        <v>43</v>
      </c>
    </row>
    <row r="102" spans="1:7" s="2" customFormat="1" x14ac:dyDescent="0.3">
      <c r="A102" s="2" t="s">
        <v>293</v>
      </c>
      <c r="B102" s="2" t="s">
        <v>294</v>
      </c>
      <c r="C102" s="2" t="s">
        <v>295</v>
      </c>
      <c r="D102" s="2" t="s">
        <v>296</v>
      </c>
      <c r="E102" s="2" t="s">
        <v>297</v>
      </c>
      <c r="F102" s="2" t="s">
        <v>298</v>
      </c>
      <c r="G102" s="2" t="s">
        <v>299</v>
      </c>
    </row>
    <row r="103" spans="1:7" x14ac:dyDescent="0.3">
      <c r="A103" t="s">
        <v>300</v>
      </c>
      <c r="B103">
        <v>1196.69</v>
      </c>
      <c r="C103">
        <v>31114.02</v>
      </c>
      <c r="D103">
        <v>1087.9000000000001</v>
      </c>
      <c r="E103">
        <v>28285.47</v>
      </c>
      <c r="F103">
        <v>989</v>
      </c>
      <c r="G103">
        <v>25714.07</v>
      </c>
    </row>
    <row r="104" spans="1:7" x14ac:dyDescent="0.3">
      <c r="A104" t="s">
        <v>301</v>
      </c>
      <c r="B104">
        <v>1087.9000000000001</v>
      </c>
      <c r="C104">
        <v>28285.47</v>
      </c>
      <c r="D104">
        <v>989</v>
      </c>
      <c r="E104">
        <v>25714.07</v>
      </c>
      <c r="F104">
        <v>899.09</v>
      </c>
      <c r="G104">
        <v>23376.43</v>
      </c>
    </row>
    <row r="105" spans="1:7" x14ac:dyDescent="0.3">
      <c r="A105" t="s">
        <v>302</v>
      </c>
      <c r="B105">
        <v>989</v>
      </c>
      <c r="C105">
        <v>25714.07</v>
      </c>
      <c r="D105">
        <v>899.09</v>
      </c>
      <c r="E105">
        <v>23376.43</v>
      </c>
      <c r="F105">
        <v>817.35</v>
      </c>
      <c r="G105">
        <v>21251.3</v>
      </c>
    </row>
    <row r="106" spans="1:7" x14ac:dyDescent="0.3">
      <c r="A106" t="s">
        <v>303</v>
      </c>
      <c r="B106">
        <v>899.09</v>
      </c>
      <c r="C106">
        <v>23376.43</v>
      </c>
      <c r="D106">
        <v>817.35</v>
      </c>
      <c r="E106">
        <v>21251.3</v>
      </c>
      <c r="F106">
        <v>743.05</v>
      </c>
      <c r="G106">
        <v>19319.36</v>
      </c>
    </row>
    <row r="108" spans="1:7" s="2" customFormat="1" x14ac:dyDescent="0.3">
      <c r="A108" s="2" t="s">
        <v>304</v>
      </c>
      <c r="C108" s="20" t="s">
        <v>305</v>
      </c>
    </row>
    <row r="109" spans="1:7" x14ac:dyDescent="0.3">
      <c r="A109" s="21" t="s">
        <v>306</v>
      </c>
      <c r="D109">
        <v>477003</v>
      </c>
    </row>
    <row r="111" spans="1:7" x14ac:dyDescent="0.3">
      <c r="A111" t="s">
        <v>344</v>
      </c>
    </row>
    <row r="112" spans="1:7" x14ac:dyDescent="0.3">
      <c r="A112">
        <v>159000</v>
      </c>
      <c r="B112" t="s">
        <v>129</v>
      </c>
    </row>
  </sheetData>
  <hyperlinks>
    <hyperlink ref="D101" r:id="rId1" xr:uid="{E40AEDFF-5FE8-45C9-B8A2-4F1415C71AA5}"/>
    <hyperlink ref="C108" r:id="rId2" xr:uid="{0B3FEAF4-F7D8-4DDD-AE1A-4C33ADAFA62E}"/>
  </hyperlinks>
  <pageMargins left="0.7" right="0.7" top="0.75" bottom="0.75" header="0.3" footer="0.3"/>
  <legacyDrawing r:id="rId3"/>
  <tableParts count="6"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BAU</vt:lpstr>
      <vt:lpstr>S2</vt:lpstr>
      <vt:lpstr>Sensitivity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Nikshep Trinetra</cp:lastModifiedBy>
  <dcterms:created xsi:type="dcterms:W3CDTF">2026-09-25T08:33:49Z</dcterms:created>
  <dcterms:modified xsi:type="dcterms:W3CDTF">2026-10-07T07:13:32Z</dcterms:modified>
</cp:coreProperties>
</file>